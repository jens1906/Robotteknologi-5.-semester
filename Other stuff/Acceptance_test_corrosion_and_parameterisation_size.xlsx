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ns\Documents\GitHub\Robotteknologi-5.-semester\"/>
    </mc:Choice>
  </mc:AlternateContent>
  <xr:revisionPtr revIDLastSave="0" documentId="13_ncr:1_{2C544C24-2318-43DB-9070-8E9B60F7F895}" xr6:coauthVersionLast="47" xr6:coauthVersionMax="47" xr10:uidLastSave="{00000000-0000-0000-0000-000000000000}"/>
  <bookViews>
    <workbookView xWindow="-110" yWindow="-110" windowWidth="25820" windowHeight="15500" xr2:uid="{634B6407-AD3C-4DC4-BF9C-C1397938D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G44" i="1"/>
  <c r="P34" i="1"/>
  <c r="P35" i="1"/>
  <c r="Q35" i="1"/>
  <c r="P36" i="1"/>
  <c r="Q36" i="1"/>
  <c r="P37" i="1"/>
  <c r="P38" i="1"/>
  <c r="P39" i="1"/>
  <c r="P40" i="1"/>
  <c r="P41" i="1"/>
  <c r="P42" i="1"/>
  <c r="P43" i="1"/>
  <c r="P44" i="1"/>
  <c r="P45" i="1"/>
  <c r="P46" i="1"/>
  <c r="P47" i="1"/>
  <c r="P48" i="1"/>
  <c r="Q48" i="1"/>
  <c r="P49" i="1"/>
  <c r="P50" i="1"/>
  <c r="P51" i="1"/>
  <c r="P52" i="1"/>
  <c r="P53" i="1"/>
  <c r="P54" i="1"/>
  <c r="P55" i="1"/>
  <c r="P56" i="1"/>
  <c r="Q56" i="1"/>
  <c r="G33" i="1"/>
  <c r="Q33" i="1" s="1"/>
  <c r="G34" i="1"/>
  <c r="G35" i="1"/>
  <c r="G36" i="1"/>
  <c r="G37" i="1"/>
  <c r="G38" i="1"/>
  <c r="G39" i="1"/>
  <c r="Q39" i="1" s="1"/>
  <c r="G40" i="1"/>
  <c r="Q40" i="1" s="1"/>
  <c r="G41" i="1"/>
  <c r="Q41" i="1" s="1"/>
  <c r="G42" i="1"/>
  <c r="Q42" i="1" s="1"/>
  <c r="G43" i="1"/>
  <c r="G45" i="1"/>
  <c r="G46" i="1"/>
  <c r="G47" i="1"/>
  <c r="Q47" i="1" s="1"/>
  <c r="G48" i="1"/>
  <c r="G49" i="1"/>
  <c r="G50" i="1"/>
  <c r="Q50" i="1" s="1"/>
  <c r="G51" i="1"/>
  <c r="G52" i="1"/>
  <c r="Q52" i="1" s="1"/>
  <c r="G53" i="1"/>
  <c r="Q53" i="1" s="1"/>
  <c r="G54" i="1"/>
  <c r="Q54" i="1" s="1"/>
  <c r="G55" i="1"/>
  <c r="P33" i="1"/>
  <c r="I61" i="1"/>
  <c r="F61" i="1"/>
  <c r="K29" i="1"/>
  <c r="N53" i="1"/>
  <c r="K67" i="1" s="1"/>
  <c r="L69" i="1"/>
  <c r="L68" i="1"/>
  <c r="L67" i="1"/>
  <c r="L66" i="1"/>
  <c r="L65" i="1"/>
  <c r="L64" i="1"/>
  <c r="L63" i="1"/>
  <c r="L62" i="1"/>
  <c r="L61" i="1"/>
  <c r="C69" i="1"/>
  <c r="C68" i="1"/>
  <c r="C67" i="1"/>
  <c r="C66" i="1"/>
  <c r="C65" i="1"/>
  <c r="C64" i="1"/>
  <c r="C63" i="1"/>
  <c r="C62" i="1"/>
  <c r="C61" i="1"/>
  <c r="H34" i="1"/>
  <c r="H35" i="1"/>
  <c r="H36" i="1"/>
  <c r="H38" i="1"/>
  <c r="H39" i="1"/>
  <c r="H40" i="1"/>
  <c r="H41" i="1"/>
  <c r="H42" i="1"/>
  <c r="H43" i="1"/>
  <c r="H44" i="1"/>
  <c r="H45" i="1"/>
  <c r="H46" i="1"/>
  <c r="Q46" i="1" s="1"/>
  <c r="H47" i="1"/>
  <c r="H48" i="1"/>
  <c r="H50" i="1"/>
  <c r="H51" i="1"/>
  <c r="H52" i="1"/>
  <c r="H53" i="1"/>
  <c r="H54" i="1"/>
  <c r="H55" i="1"/>
  <c r="Q55" i="1" s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H33" i="1"/>
  <c r="F33" i="1"/>
  <c r="D33" i="1"/>
  <c r="C31" i="1" s="1"/>
  <c r="C33" i="1"/>
  <c r="F55" i="1"/>
  <c r="E55" i="1"/>
  <c r="E69" i="1" s="1"/>
  <c r="F54" i="1"/>
  <c r="E54" i="1"/>
  <c r="J54" i="1" s="1"/>
  <c r="N54" i="1" s="1"/>
  <c r="K68" i="1" s="1"/>
  <c r="F53" i="1"/>
  <c r="E53" i="1"/>
  <c r="J53" i="1" s="1"/>
  <c r="F52" i="1"/>
  <c r="E52" i="1"/>
  <c r="F51" i="1"/>
  <c r="E51" i="1"/>
  <c r="J51" i="1" s="1"/>
  <c r="N51" i="1" s="1"/>
  <c r="F50" i="1"/>
  <c r="E50" i="1"/>
  <c r="F49" i="1"/>
  <c r="E49" i="1"/>
  <c r="F48" i="1"/>
  <c r="E48" i="1"/>
  <c r="F47" i="1"/>
  <c r="E47" i="1"/>
  <c r="J47" i="1" s="1"/>
  <c r="N47" i="1" s="1"/>
  <c r="K63" i="1" s="1"/>
  <c r="F46" i="1"/>
  <c r="E46" i="1"/>
  <c r="J46" i="1" s="1"/>
  <c r="N46" i="1" s="1"/>
  <c r="K66" i="1" s="1"/>
  <c r="F45" i="1"/>
  <c r="E45" i="1"/>
  <c r="J45" i="1" s="1"/>
  <c r="N45" i="1" s="1"/>
  <c r="K65" i="1" s="1"/>
  <c r="I45" i="1"/>
  <c r="F44" i="1"/>
  <c r="E44" i="1"/>
  <c r="F43" i="1"/>
  <c r="E43" i="1"/>
  <c r="F42" i="1"/>
  <c r="E42" i="1"/>
  <c r="F41" i="1"/>
  <c r="E41" i="1"/>
  <c r="J41" i="1" s="1"/>
  <c r="N41" i="1" s="1"/>
  <c r="K64" i="1" s="1"/>
  <c r="F40" i="1"/>
  <c r="E40" i="1"/>
  <c r="J40" i="1" s="1"/>
  <c r="N40" i="1" s="1"/>
  <c r="F39" i="1"/>
  <c r="E39" i="1"/>
  <c r="J39" i="1" s="1"/>
  <c r="N39" i="1" s="1"/>
  <c r="F38" i="1"/>
  <c r="E38" i="1"/>
  <c r="J38" i="1" s="1"/>
  <c r="N38" i="1" s="1"/>
  <c r="F37" i="1"/>
  <c r="E37" i="1"/>
  <c r="J37" i="1" s="1"/>
  <c r="N37" i="1" s="1"/>
  <c r="F36" i="1"/>
  <c r="E36" i="1"/>
  <c r="J36" i="1" s="1"/>
  <c r="N36" i="1" s="1"/>
  <c r="F35" i="1"/>
  <c r="E35" i="1"/>
  <c r="J35" i="1" s="1"/>
  <c r="N35" i="1" s="1"/>
  <c r="F34" i="1"/>
  <c r="E34" i="1"/>
  <c r="J34" i="1" s="1"/>
  <c r="N34" i="1" s="1"/>
  <c r="K62" i="1" s="1"/>
  <c r="I41" i="1"/>
  <c r="E33" i="1"/>
  <c r="E61" i="1" s="1"/>
  <c r="I33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" i="1"/>
  <c r="K28" i="1"/>
  <c r="K42" i="1"/>
  <c r="M42" i="1" s="1"/>
  <c r="K43" i="1"/>
  <c r="M43" i="1" s="1"/>
  <c r="K44" i="1"/>
  <c r="M44" i="1" s="1"/>
  <c r="K48" i="1"/>
  <c r="M48" i="1" s="1"/>
  <c r="K49" i="1"/>
  <c r="M49" i="1" s="1"/>
  <c r="K50" i="1"/>
  <c r="M50" i="1" s="1"/>
  <c r="J42" i="1"/>
  <c r="N42" i="1" s="1"/>
  <c r="J43" i="1"/>
  <c r="N43" i="1" s="1"/>
  <c r="J44" i="1"/>
  <c r="N44" i="1" s="1"/>
  <c r="J48" i="1"/>
  <c r="N48" i="1" s="1"/>
  <c r="J49" i="1"/>
  <c r="N49" i="1" s="1"/>
  <c r="J50" i="1"/>
  <c r="N50" i="1" s="1"/>
  <c r="I42" i="1"/>
  <c r="L42" i="1" s="1"/>
  <c r="I43" i="1"/>
  <c r="L43" i="1" s="1"/>
  <c r="I44" i="1"/>
  <c r="L44" i="1" s="1"/>
  <c r="I48" i="1"/>
  <c r="L48" i="1" s="1"/>
  <c r="I49" i="1"/>
  <c r="L49" i="1" s="1"/>
  <c r="I50" i="1"/>
  <c r="L50" i="1" s="1"/>
  <c r="J52" i="1"/>
  <c r="N52" i="1" s="1"/>
  <c r="I46" i="1"/>
  <c r="L46" i="1" s="1"/>
  <c r="I66" i="1" s="1"/>
  <c r="D29" i="1"/>
  <c r="D28" i="1"/>
  <c r="D30" i="1"/>
  <c r="C28" i="1"/>
  <c r="C29" i="1"/>
  <c r="AA32" i="1"/>
  <c r="Z38" i="1"/>
  <c r="AA38" i="1"/>
  <c r="Z39" i="1"/>
  <c r="AA39" i="1"/>
  <c r="Z40" i="1"/>
  <c r="AA40" i="1"/>
  <c r="Z43" i="1"/>
  <c r="Z44" i="1"/>
  <c r="AA44" i="1"/>
  <c r="Z45" i="1"/>
  <c r="AA45" i="1"/>
  <c r="Z46" i="1"/>
  <c r="AA46" i="1"/>
  <c r="X30" i="1"/>
  <c r="X33" i="1"/>
  <c r="W38" i="1"/>
  <c r="X38" i="1"/>
  <c r="W39" i="1"/>
  <c r="X39" i="1"/>
  <c r="W40" i="1"/>
  <c r="X40" i="1"/>
  <c r="W44" i="1"/>
  <c r="X44" i="1"/>
  <c r="W45" i="1"/>
  <c r="X45" i="1"/>
  <c r="W46" i="1"/>
  <c r="X46" i="1"/>
  <c r="X49" i="1"/>
  <c r="W52" i="1"/>
  <c r="X52" i="1"/>
  <c r="W53" i="1"/>
  <c r="X53" i="1"/>
  <c r="X3" i="1"/>
  <c r="W8" i="1"/>
  <c r="W11" i="1"/>
  <c r="X11" i="1"/>
  <c r="W12" i="1"/>
  <c r="X12" i="1"/>
  <c r="W13" i="1"/>
  <c r="X13" i="1"/>
  <c r="W17" i="1"/>
  <c r="X17" i="1"/>
  <c r="W18" i="1"/>
  <c r="X18" i="1"/>
  <c r="W19" i="1"/>
  <c r="X19" i="1"/>
  <c r="AA3" i="1"/>
  <c r="Z6" i="1"/>
  <c r="AA7" i="1"/>
  <c r="Z11" i="1"/>
  <c r="AA11" i="1"/>
  <c r="Z12" i="1"/>
  <c r="AA12" i="1"/>
  <c r="Z13" i="1"/>
  <c r="AA13" i="1"/>
  <c r="Z17" i="1"/>
  <c r="AA17" i="1"/>
  <c r="Z18" i="1"/>
  <c r="AA18" i="1"/>
  <c r="Z19" i="1"/>
  <c r="AA19" i="1"/>
  <c r="AA22" i="1"/>
  <c r="Z23" i="1"/>
  <c r="O23" i="1"/>
  <c r="W23" i="1" s="1"/>
  <c r="P23" i="1"/>
  <c r="Q23" i="1"/>
  <c r="X23" i="1" s="1"/>
  <c r="O24" i="1"/>
  <c r="W24" i="1" s="1"/>
  <c r="P24" i="1"/>
  <c r="Q24" i="1"/>
  <c r="X24" i="1" s="1"/>
  <c r="T24" i="1"/>
  <c r="AA51" i="1" s="1"/>
  <c r="S24" i="1"/>
  <c r="Z51" i="1" s="1"/>
  <c r="T23" i="1"/>
  <c r="X50" i="1" s="1"/>
  <c r="S23" i="1"/>
  <c r="Z50" i="1" s="1"/>
  <c r="T22" i="1"/>
  <c r="AA49" i="1" s="1"/>
  <c r="S22" i="1"/>
  <c r="W49" i="1" s="1"/>
  <c r="Q22" i="1"/>
  <c r="X22" i="1" s="1"/>
  <c r="P22" i="1"/>
  <c r="O22" i="1"/>
  <c r="Z22" i="1" s="1"/>
  <c r="W54" i="1"/>
  <c r="X54" i="1"/>
  <c r="W55" i="1"/>
  <c r="X55" i="1"/>
  <c r="O3" i="1"/>
  <c r="Z3" i="1" s="1"/>
  <c r="P3" i="1"/>
  <c r="Q3" i="1"/>
  <c r="S3" i="1"/>
  <c r="W30" i="1" s="1"/>
  <c r="T3" i="1"/>
  <c r="AA30" i="1" s="1"/>
  <c r="O4" i="1"/>
  <c r="Z4" i="1" s="1"/>
  <c r="P4" i="1"/>
  <c r="Q4" i="1"/>
  <c r="X4" i="1" s="1"/>
  <c r="S4" i="1"/>
  <c r="W31" i="1" s="1"/>
  <c r="T4" i="1"/>
  <c r="X31" i="1" s="1"/>
  <c r="O5" i="1"/>
  <c r="Z5" i="1" s="1"/>
  <c r="P5" i="1"/>
  <c r="Q5" i="1"/>
  <c r="X5" i="1" s="1"/>
  <c r="S5" i="1"/>
  <c r="Z32" i="1" s="1"/>
  <c r="T5" i="1"/>
  <c r="X32" i="1" s="1"/>
  <c r="O6" i="1"/>
  <c r="W6" i="1" s="1"/>
  <c r="P6" i="1"/>
  <c r="Q6" i="1"/>
  <c r="X6" i="1" s="1"/>
  <c r="S6" i="1"/>
  <c r="Z33" i="1" s="1"/>
  <c r="T6" i="1"/>
  <c r="AA33" i="1" s="1"/>
  <c r="O7" i="1"/>
  <c r="W7" i="1" s="1"/>
  <c r="P7" i="1"/>
  <c r="Q7" i="1"/>
  <c r="X7" i="1" s="1"/>
  <c r="S7" i="1"/>
  <c r="W34" i="1" s="1"/>
  <c r="T7" i="1"/>
  <c r="X34" i="1" s="1"/>
  <c r="O8" i="1"/>
  <c r="Z8" i="1" s="1"/>
  <c r="P8" i="1"/>
  <c r="Q8" i="1"/>
  <c r="AA8" i="1" s="1"/>
  <c r="S8" i="1"/>
  <c r="W35" i="1" s="1"/>
  <c r="T8" i="1"/>
  <c r="X35" i="1" s="1"/>
  <c r="O9" i="1"/>
  <c r="Z9" i="1" s="1"/>
  <c r="P9" i="1"/>
  <c r="Q9" i="1"/>
  <c r="AA9" i="1" s="1"/>
  <c r="S9" i="1"/>
  <c r="W36" i="1" s="1"/>
  <c r="T9" i="1"/>
  <c r="AA36" i="1" s="1"/>
  <c r="O10" i="1"/>
  <c r="Z10" i="1" s="1"/>
  <c r="P10" i="1"/>
  <c r="Q10" i="1"/>
  <c r="X10" i="1" s="1"/>
  <c r="S10" i="1"/>
  <c r="W37" i="1" s="1"/>
  <c r="T10" i="1"/>
  <c r="X37" i="1" s="1"/>
  <c r="O11" i="1"/>
  <c r="P11" i="1"/>
  <c r="Q11" i="1"/>
  <c r="S11" i="1"/>
  <c r="T11" i="1"/>
  <c r="O12" i="1"/>
  <c r="P12" i="1"/>
  <c r="Q12" i="1"/>
  <c r="S12" i="1"/>
  <c r="T12" i="1"/>
  <c r="O13" i="1"/>
  <c r="P13" i="1"/>
  <c r="Q13" i="1"/>
  <c r="S13" i="1"/>
  <c r="T13" i="1"/>
  <c r="O14" i="1"/>
  <c r="Z14" i="1" s="1"/>
  <c r="P14" i="1"/>
  <c r="Q14" i="1"/>
  <c r="AA14" i="1" s="1"/>
  <c r="S14" i="1"/>
  <c r="W41" i="1" s="1"/>
  <c r="T14" i="1"/>
  <c r="X41" i="1" s="1"/>
  <c r="O15" i="1"/>
  <c r="Z15" i="1" s="1"/>
  <c r="P15" i="1"/>
  <c r="Q15" i="1"/>
  <c r="AA15" i="1" s="1"/>
  <c r="S15" i="1"/>
  <c r="W42" i="1" s="1"/>
  <c r="T15" i="1"/>
  <c r="AA42" i="1" s="1"/>
  <c r="O16" i="1"/>
  <c r="Z16" i="1" s="1"/>
  <c r="P16" i="1"/>
  <c r="Q16" i="1"/>
  <c r="X16" i="1" s="1"/>
  <c r="S16" i="1"/>
  <c r="W43" i="1" s="1"/>
  <c r="T16" i="1"/>
  <c r="X43" i="1" s="1"/>
  <c r="O17" i="1"/>
  <c r="P17" i="1"/>
  <c r="Q17" i="1"/>
  <c r="S17" i="1"/>
  <c r="T17" i="1"/>
  <c r="O18" i="1"/>
  <c r="P18" i="1"/>
  <c r="Q18" i="1"/>
  <c r="S18" i="1"/>
  <c r="T18" i="1"/>
  <c r="O19" i="1"/>
  <c r="P19" i="1"/>
  <c r="Q19" i="1"/>
  <c r="S19" i="1"/>
  <c r="T19" i="1"/>
  <c r="O20" i="1"/>
  <c r="Z20" i="1" s="1"/>
  <c r="P20" i="1"/>
  <c r="Q20" i="1"/>
  <c r="AA20" i="1" s="1"/>
  <c r="S20" i="1"/>
  <c r="W47" i="1" s="1"/>
  <c r="T20" i="1"/>
  <c r="X47" i="1" s="1"/>
  <c r="O21" i="1"/>
  <c r="Z21" i="1" s="1"/>
  <c r="P21" i="1"/>
  <c r="Q21" i="1"/>
  <c r="AA21" i="1" s="1"/>
  <c r="S21" i="1"/>
  <c r="W48" i="1" s="1"/>
  <c r="T21" i="1"/>
  <c r="AA48" i="1" s="1"/>
  <c r="T2" i="1"/>
  <c r="AA29" i="1" s="1"/>
  <c r="S2" i="1"/>
  <c r="Z29" i="1" s="1"/>
  <c r="Q2" i="1"/>
  <c r="X2" i="1" s="1"/>
  <c r="P2" i="1"/>
  <c r="O2" i="1"/>
  <c r="W2" i="1" s="1"/>
  <c r="Q34" i="1" l="1"/>
  <c r="Q45" i="1"/>
  <c r="D61" i="1"/>
  <c r="Q43" i="1"/>
  <c r="Q51" i="1"/>
  <c r="Q38" i="1"/>
  <c r="Q44" i="1"/>
  <c r="J33" i="1"/>
  <c r="H49" i="1"/>
  <c r="Q49" i="1" s="1"/>
  <c r="H37" i="1"/>
  <c r="Q37" i="1" s="1"/>
  <c r="G31" i="1"/>
  <c r="J55" i="1"/>
  <c r="I35" i="1"/>
  <c r="L35" i="1" s="1"/>
  <c r="E67" i="1"/>
  <c r="L45" i="1"/>
  <c r="I65" i="1" s="1"/>
  <c r="F65" i="1"/>
  <c r="H64" i="1"/>
  <c r="L41" i="1"/>
  <c r="I64" i="1" s="1"/>
  <c r="F64" i="1"/>
  <c r="F66" i="1"/>
  <c r="H68" i="1"/>
  <c r="H62" i="1"/>
  <c r="H65" i="1"/>
  <c r="H66" i="1"/>
  <c r="E62" i="1"/>
  <c r="E63" i="1"/>
  <c r="H63" i="1"/>
  <c r="E64" i="1"/>
  <c r="E65" i="1"/>
  <c r="E66" i="1"/>
  <c r="H67" i="1"/>
  <c r="E68" i="1"/>
  <c r="AA10" i="1"/>
  <c r="W5" i="1"/>
  <c r="W32" i="1"/>
  <c r="AA41" i="1"/>
  <c r="I34" i="1"/>
  <c r="I55" i="1"/>
  <c r="L33" i="1"/>
  <c r="X15" i="1"/>
  <c r="AA50" i="1"/>
  <c r="AA4" i="1"/>
  <c r="W14" i="1"/>
  <c r="X42" i="1"/>
  <c r="Z49" i="1"/>
  <c r="Z2" i="1"/>
  <c r="AA16" i="1"/>
  <c r="AA47" i="1"/>
  <c r="AA2" i="1"/>
  <c r="I47" i="1"/>
  <c r="Z24" i="1"/>
  <c r="X21" i="1"/>
  <c r="W50" i="1"/>
  <c r="AA23" i="1"/>
  <c r="W20" i="1"/>
  <c r="Z37" i="1"/>
  <c r="I54" i="1"/>
  <c r="X48" i="1"/>
  <c r="AA35" i="1"/>
  <c r="I53" i="1"/>
  <c r="I38" i="1"/>
  <c r="L38" i="1" s="1"/>
  <c r="X9" i="1"/>
  <c r="X36" i="1"/>
  <c r="Z31" i="1"/>
  <c r="J56" i="1" a="1"/>
  <c r="J56" i="1" s="1"/>
  <c r="N56" i="1" s="1"/>
  <c r="X51" i="1"/>
  <c r="Z7" i="1"/>
  <c r="W51" i="1"/>
  <c r="W33" i="1"/>
  <c r="K51" i="1"/>
  <c r="M51" i="1" s="1"/>
  <c r="K39" i="1"/>
  <c r="M39" i="1" s="1"/>
  <c r="K36" i="1"/>
  <c r="M36" i="1" s="1"/>
  <c r="I52" i="1"/>
  <c r="L52" i="1" s="1"/>
  <c r="I40" i="1"/>
  <c r="L40" i="1" s="1"/>
  <c r="AA24" i="1"/>
  <c r="AA6" i="1"/>
  <c r="W22" i="1"/>
  <c r="W16" i="1"/>
  <c r="W10" i="1"/>
  <c r="W4" i="1"/>
  <c r="AA43" i="1"/>
  <c r="AA37" i="1"/>
  <c r="AA31" i="1"/>
  <c r="I51" i="1"/>
  <c r="L51" i="1" s="1"/>
  <c r="I39" i="1"/>
  <c r="L39" i="1" s="1"/>
  <c r="W21" i="1"/>
  <c r="W9" i="1"/>
  <c r="I37" i="1"/>
  <c r="L37" i="1" s="1"/>
  <c r="AA5" i="1"/>
  <c r="W15" i="1"/>
  <c r="W3" i="1"/>
  <c r="X20" i="1"/>
  <c r="X14" i="1"/>
  <c r="X8" i="1"/>
  <c r="Z48" i="1"/>
  <c r="Z42" i="1"/>
  <c r="Z36" i="1"/>
  <c r="Z30" i="1"/>
  <c r="K38" i="1"/>
  <c r="M38" i="1" s="1"/>
  <c r="K35" i="1"/>
  <c r="M35" i="1" s="1"/>
  <c r="I36" i="1"/>
  <c r="L36" i="1" s="1"/>
  <c r="W29" i="1"/>
  <c r="K33" i="1"/>
  <c r="X29" i="1"/>
  <c r="Z47" i="1"/>
  <c r="Z41" i="1"/>
  <c r="Z35" i="1"/>
  <c r="AA34" i="1"/>
  <c r="Z34" i="1"/>
  <c r="K52" i="1"/>
  <c r="M52" i="1" s="1"/>
  <c r="K40" i="1"/>
  <c r="M40" i="1" s="1"/>
  <c r="K37" i="1"/>
  <c r="M37" i="1" s="1"/>
  <c r="N33" i="1" l="1"/>
  <c r="K61" i="1" s="1"/>
  <c r="H61" i="1"/>
  <c r="M33" i="1"/>
  <c r="J61" i="1" s="1"/>
  <c r="G61" i="1"/>
  <c r="N55" i="1"/>
  <c r="K69" i="1" s="1"/>
  <c r="H69" i="1"/>
  <c r="L47" i="1"/>
  <c r="I63" i="1" s="1"/>
  <c r="F63" i="1"/>
  <c r="L53" i="1"/>
  <c r="I67" i="1" s="1"/>
  <c r="F67" i="1"/>
  <c r="L55" i="1"/>
  <c r="I69" i="1" s="1"/>
  <c r="F69" i="1"/>
  <c r="L34" i="1"/>
  <c r="I62" i="1" s="1"/>
  <c r="F62" i="1"/>
  <c r="L54" i="1"/>
  <c r="I68" i="1" s="1"/>
  <c r="F68" i="1"/>
  <c r="K47" i="1"/>
  <c r="M47" i="1" s="1"/>
  <c r="J63" i="1" s="1"/>
  <c r="D63" i="1"/>
  <c r="K45" i="1"/>
  <c r="M45" i="1" s="1"/>
  <c r="J65" i="1" s="1"/>
  <c r="D65" i="1"/>
  <c r="K46" i="1"/>
  <c r="M46" i="1" s="1"/>
  <c r="J66" i="1" s="1"/>
  <c r="D66" i="1"/>
  <c r="K54" i="1"/>
  <c r="M54" i="1" s="1"/>
  <c r="J68" i="1" s="1"/>
  <c r="D68" i="1"/>
  <c r="K55" i="1"/>
  <c r="M55" i="1" s="1"/>
  <c r="J69" i="1" s="1"/>
  <c r="D69" i="1"/>
  <c r="K34" i="1"/>
  <c r="M34" i="1" s="1"/>
  <c r="J62" i="1" s="1"/>
  <c r="D62" i="1"/>
  <c r="K53" i="1"/>
  <c r="M53" i="1" s="1"/>
  <c r="J67" i="1" s="1"/>
  <c r="D67" i="1"/>
  <c r="K41" i="1"/>
  <c r="M41" i="1" s="1"/>
  <c r="J64" i="1" s="1"/>
  <c r="D64" i="1"/>
  <c r="I56" i="1" a="1"/>
  <c r="I56" i="1" s="1"/>
  <c r="L56" i="1" s="1"/>
  <c r="K56" i="1" l="1" a="1"/>
  <c r="K56" i="1" s="1"/>
  <c r="M56" i="1" s="1"/>
  <c r="G63" i="1"/>
  <c r="G69" i="1"/>
  <c r="G66" i="1"/>
  <c r="G67" i="1"/>
  <c r="G62" i="1"/>
  <c r="G68" i="1"/>
  <c r="G64" i="1"/>
  <c r="G65" i="1"/>
  <c r="W56" i="1"/>
  <c r="X5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<sst xmlns="http://schemas.openxmlformats.org/spreadsheetml/2006/main" count="173" uniqueCount="38">
  <si>
    <t>Test NR</t>
  </si>
  <si>
    <t>X_min</t>
  </si>
  <si>
    <t>X_max</t>
  </si>
  <si>
    <t>Y_min</t>
  </si>
  <si>
    <t>Y_max</t>
  </si>
  <si>
    <t>Z_min</t>
  </si>
  <si>
    <t>Z_max</t>
  </si>
  <si>
    <t>U_min</t>
  </si>
  <si>
    <t>U_max</t>
  </si>
  <si>
    <t>V_min</t>
  </si>
  <si>
    <t>V_max</t>
  </si>
  <si>
    <t>X</t>
  </si>
  <si>
    <t>Y</t>
  </si>
  <si>
    <t>Z</t>
  </si>
  <si>
    <t>U</t>
  </si>
  <si>
    <t>V</t>
  </si>
  <si>
    <t>Type</t>
  </si>
  <si>
    <t>Lblob</t>
  </si>
  <si>
    <t>SBlob</t>
  </si>
  <si>
    <t>Rec</t>
  </si>
  <si>
    <t>-</t>
  </si>
  <si>
    <t>LRec</t>
  </si>
  <si>
    <t>CorCheck</t>
  </si>
  <si>
    <t>Paracheck</t>
  </si>
  <si>
    <t>X_dif</t>
  </si>
  <si>
    <t>Y_dif</t>
  </si>
  <si>
    <t>U_Dif</t>
  </si>
  <si>
    <t>V_Dif</t>
  </si>
  <si>
    <t>Lblob1</t>
  </si>
  <si>
    <t>Lblob2</t>
  </si>
  <si>
    <t>Lblob3</t>
  </si>
  <si>
    <t>x adjust</t>
  </si>
  <si>
    <t>z adjust</t>
  </si>
  <si>
    <t>y adjust</t>
  </si>
  <si>
    <t>Max offset</t>
  </si>
  <si>
    <t>X offset</t>
  </si>
  <si>
    <t>Y offset</t>
  </si>
  <si>
    <t>Z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</si>
</sst>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6F927-AB27-401A-990D-9D8E7271204D}">
  <dimension ref="A1:AD69"/>
  <sheetViews>
    <sheetView tabSelected="1" topLeftCell="A28" zoomScale="85" zoomScaleNormal="100" workbookViewId="0">
      <selection activeCell="L61" sqref="L61"/>
    </sheetView>
  </sheetViews>
  <sheetFormatPr defaultRowHeight="14.5" x14ac:dyDescent="0.35"/>
  <cols>
    <col min="3" max="4" width="11.08984375" bestFit="1" customWidth="1"/>
    <col min="5" max="5" width="10" bestFit="1" customWidth="1"/>
    <col min="6" max="6" width="9.6328125" bestFit="1" customWidth="1"/>
    <col min="7" max="8" width="10.6328125" bestFit="1" customWidth="1"/>
  </cols>
  <sheetData>
    <row r="1" spans="1:30" ht="1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16</v>
      </c>
      <c r="O1" s="1" t="s">
        <v>11</v>
      </c>
      <c r="P1" s="1" t="s">
        <v>12</v>
      </c>
      <c r="Q1" s="1" t="s">
        <v>13</v>
      </c>
      <c r="R1" s="1"/>
      <c r="S1" s="1" t="s">
        <v>14</v>
      </c>
      <c r="T1" s="1" t="s">
        <v>15</v>
      </c>
      <c r="V1" s="1" t="s">
        <v>22</v>
      </c>
      <c r="W1" s="1" t="s">
        <v>11</v>
      </c>
      <c r="X1" s="1" t="s">
        <v>12</v>
      </c>
      <c r="Z1" s="1" t="s">
        <v>24</v>
      </c>
      <c r="AA1" s="1" t="s">
        <v>25</v>
      </c>
      <c r="AB1" s="1"/>
      <c r="AC1" s="1" t="s">
        <v>24</v>
      </c>
      <c r="AD1" s="1" t="s">
        <v>25</v>
      </c>
    </row>
    <row r="2" spans="1:30" x14ac:dyDescent="0.35">
      <c r="A2">
        <v>1</v>
      </c>
      <c r="B2">
        <v>212.2</v>
      </c>
      <c r="C2">
        <v>383.5</v>
      </c>
      <c r="D2">
        <v>-100.7</v>
      </c>
      <c r="E2">
        <v>-90.3</v>
      </c>
      <c r="F2">
        <v>-213.6</v>
      </c>
      <c r="G2">
        <v>-92.7</v>
      </c>
      <c r="I2">
        <v>58.889000000000003</v>
      </c>
      <c r="J2">
        <v>228.60900000000001</v>
      </c>
      <c r="K2">
        <v>58.338999999999999</v>
      </c>
      <c r="L2">
        <v>180.09700000000001</v>
      </c>
      <c r="N2" t="s">
        <v>18</v>
      </c>
      <c r="O2">
        <f>C2-B2</f>
        <v>171.3</v>
      </c>
      <c r="P2">
        <f>E2-D2</f>
        <v>10.400000000000006</v>
      </c>
      <c r="Q2">
        <f>G2-F2</f>
        <v>120.89999999999999</v>
      </c>
      <c r="S2">
        <f>J2-I2</f>
        <v>169.72</v>
      </c>
      <c r="T2">
        <f>L2-K2</f>
        <v>121.75800000000001</v>
      </c>
      <c r="V2" t="s">
        <v>18</v>
      </c>
      <c r="W2" t="b">
        <f>IF(N2="Sblob",
    AND(O2 &gt;= O$28*(1-0.05), O2 &lt;= O$28*(1+0.05)),
IF(N2="Lblob",
    AND(O2 &gt;= O$29*(1-0.05), O2 &lt;= O$29*(1+0.05)),
IF(N2="Rec",
    AND(O2 &gt;= O$30*(1-0.05), O2 &lt;= O$30*(1+0.05)),
""
)))</f>
        <v>1</v>
      </c>
      <c r="X2" t="b">
        <f>IF(N2="Sblob",
    AND(Q2 &gt;= Q$28*(1-0.05), Q2 &lt;= Q$28*(1+0.05)),
IF(N2="Lblob",
    AND(Q2 &gt;= Q$29*(1-0.05), Q2 &lt;= Q$29*(1+0.05)),
IF(N2="Rec",
    AND(Q2 &gt;= Q$30*(1-0.05), Q2 &lt;= Q$30*(1+0.05)),
""
)))</f>
        <v>1</v>
      </c>
      <c r="Z2" s="2">
        <f>IF(N2="Sblob", 1-O2/O$28,
   IF(N2="Lblob", 1-O2/O$29,
   IF(N2="Rec", 1-O2/O$30,
""
)))</f>
        <v>-7.6470588235295622E-3</v>
      </c>
      <c r="AA2" s="2">
        <f>IF(N2="Sblob", 1-Q2/Q$28,
   IF(N2="Lblob", 1-Q2/Q$29,
   IF(N2="Rec", 1-Q2/Q$30,
""
)))</f>
        <v>3.2800000000000051E-2</v>
      </c>
      <c r="AC2">
        <f>IF(N2="Sblob", O2-O$28,
   IF(N2="Lblob", O2-O$29,
   IF(N2="Rec", O2-O$30,
""
)))</f>
        <v>1.3000000000000114</v>
      </c>
      <c r="AD2">
        <f>IF(N2="Sblob", Q2-Q$28,
   IF(N2="Lblob", Q2-Q$29,
   IF(N2="Rec", Q2-Q$30,
""
)))</f>
        <v>-4.1000000000000085</v>
      </c>
    </row>
    <row r="3" spans="1:30" x14ac:dyDescent="0.35">
      <c r="A3">
        <v>2</v>
      </c>
      <c r="B3">
        <v>212.7</v>
      </c>
      <c r="C3">
        <v>383.5</v>
      </c>
      <c r="D3">
        <v>-99.9</v>
      </c>
      <c r="E3">
        <v>-92.3</v>
      </c>
      <c r="F3">
        <v>-213.6</v>
      </c>
      <c r="G3">
        <v>-92.2</v>
      </c>
      <c r="I3">
        <v>58.256</v>
      </c>
      <c r="J3">
        <v>228.83699999999999</v>
      </c>
      <c r="K3">
        <v>57.951999999999998</v>
      </c>
      <c r="L3">
        <v>179.64099999999999</v>
      </c>
      <c r="N3" t="s">
        <v>18</v>
      </c>
      <c r="O3">
        <f t="shared" ref="O3:O22" si="0">C3-B3</f>
        <v>170.8</v>
      </c>
      <c r="P3">
        <f t="shared" ref="P3:P22" si="1">E3-D3</f>
        <v>7.6000000000000085</v>
      </c>
      <c r="Q3">
        <f t="shared" ref="Q3:Q22" si="2">G3-F3</f>
        <v>121.39999999999999</v>
      </c>
      <c r="S3">
        <f t="shared" ref="S3:S24" si="3">J3-I3</f>
        <v>170.58099999999999</v>
      </c>
      <c r="T3">
        <f t="shared" ref="T3:T24" si="4">L3-K3</f>
        <v>121.68899999999999</v>
      </c>
      <c r="V3" t="s">
        <v>18</v>
      </c>
      <c r="W3" t="b">
        <f t="shared" ref="W3:W23" si="5">IF(N3="Sblob",
    AND(O3 &gt;= O$28*(1-0.05), O3 &lt;= O$28*(1+0.05)),
IF(N3="Lblob",
    AND(O3 &gt;= O$29*(1-0.05), O3 &lt;= O$29*(1+0.05)),
IF(N3="Rec",
    AND(O3 &gt;= O$30*(1-0.05), O3 &lt;= O$30*(1+0.05)),
""
)))</f>
        <v>1</v>
      </c>
      <c r="X3" t="b">
        <f t="shared" ref="X3:X24" si="6">IF(N3="Sblob",
    AND(Q3 &gt;= Q$28*(1-0.05), Q3 &lt;= Q$28*(1+0.05)),
IF(N3="Lblob",
    AND(Q3 &gt;= Q$29*(1-0.05), Q3 &lt;= Q$29*(1+0.05)),
IF(N3="Rec",
    AND(Q3 &gt;= Q$30*(1-0.05), Q3 &lt;= Q$30*(1+0.05)),
""
)))</f>
        <v>1</v>
      </c>
      <c r="Z3" s="2">
        <f t="shared" ref="Z3:Z24" si="7">IF(N3="Sblob", 1-O3/O$28,
   IF(N3="Lblob", 1-O3/O$29,
   IF(N3="Rec", 1-O3/O$30,
""
)))</f>
        <v>-4.7058823529413374E-3</v>
      </c>
      <c r="AA3" s="2">
        <f t="shared" ref="AA3:AA24" si="8">IF(N3="Sblob", 1-Q3/Q$28,
   IF(N3="Lblob", 1-Q3/Q$29,
   IF(N3="Rec", 1-Q3/Q$30,
""
)))</f>
        <v>2.8800000000000048E-2</v>
      </c>
      <c r="AC3">
        <f t="shared" ref="AC3:AC24" si="9">IF(N3="Sblob", O3-O$28,
   IF(N3="Lblob", O3-O$29,
   IF(N3="Rec", O3-O$30,
""
)))</f>
        <v>0.80000000000001137</v>
      </c>
      <c r="AD3">
        <f t="shared" ref="AD3:AD24" si="10">IF(N3="Sblob", Q3-Q$28,
   IF(N3="Lblob", Q3-Q$29,
   IF(N3="Rec", Q3-Q$30,
""
)))</f>
        <v>-3.6000000000000085</v>
      </c>
    </row>
    <row r="4" spans="1:30" x14ac:dyDescent="0.35">
      <c r="A4" s="3">
        <v>3</v>
      </c>
      <c r="B4" s="3">
        <v>249.5</v>
      </c>
      <c r="C4" s="3">
        <v>374.4</v>
      </c>
      <c r="D4" s="3">
        <v>-99.4</v>
      </c>
      <c r="E4" s="3">
        <v>-90.4</v>
      </c>
      <c r="F4" s="3">
        <v>-62.8</v>
      </c>
      <c r="G4" s="3">
        <v>10.7</v>
      </c>
      <c r="H4" s="3"/>
      <c r="I4" s="3">
        <v>62.49</v>
      </c>
      <c r="J4" s="3">
        <v>188.58600000000001</v>
      </c>
      <c r="K4" s="3">
        <v>59.487000000000002</v>
      </c>
      <c r="L4" s="3">
        <v>131.78399999999999</v>
      </c>
      <c r="M4" s="3"/>
      <c r="N4" s="3" t="s">
        <v>17</v>
      </c>
      <c r="O4" s="3">
        <f t="shared" si="0"/>
        <v>124.89999999999998</v>
      </c>
      <c r="P4" s="3">
        <f t="shared" si="1"/>
        <v>9</v>
      </c>
      <c r="Q4" s="3">
        <f t="shared" si="2"/>
        <v>73.5</v>
      </c>
      <c r="R4" s="3"/>
      <c r="S4" s="3">
        <f t="shared" si="3"/>
        <v>126.096</v>
      </c>
      <c r="T4" s="3">
        <f t="shared" si="4"/>
        <v>72.296999999999997</v>
      </c>
      <c r="U4" s="3"/>
      <c r="V4" s="3" t="s">
        <v>17</v>
      </c>
      <c r="W4" s="3" t="b">
        <f t="shared" si="5"/>
        <v>0</v>
      </c>
      <c r="X4" s="3" t="b">
        <f t="shared" si="6"/>
        <v>0</v>
      </c>
      <c r="Y4" s="3"/>
      <c r="Z4" s="4">
        <f t="shared" si="7"/>
        <v>-8.6086956521739033E-2</v>
      </c>
      <c r="AA4" s="4">
        <f t="shared" si="8"/>
        <v>5.7692307692307709E-2</v>
      </c>
      <c r="AC4">
        <f t="shared" si="9"/>
        <v>9.8999999999999773</v>
      </c>
      <c r="AD4">
        <f t="shared" si="10"/>
        <v>-4.5</v>
      </c>
    </row>
    <row r="5" spans="1:30" x14ac:dyDescent="0.35">
      <c r="A5" s="3">
        <v>4</v>
      </c>
      <c r="B5" s="3">
        <v>257</v>
      </c>
      <c r="C5" s="3">
        <v>379.4</v>
      </c>
      <c r="D5" s="3">
        <v>-99.4</v>
      </c>
      <c r="E5" s="3">
        <v>-90.6</v>
      </c>
      <c r="F5" s="3">
        <v>-66.2</v>
      </c>
      <c r="G5" s="3">
        <v>10.199999999999999</v>
      </c>
      <c r="H5" s="3"/>
      <c r="I5" s="3">
        <v>63.008000000000003</v>
      </c>
      <c r="J5" s="3">
        <v>187.22499999999999</v>
      </c>
      <c r="K5" s="3">
        <v>58.801000000000002</v>
      </c>
      <c r="L5" s="3">
        <v>131.642</v>
      </c>
      <c r="M5" s="3"/>
      <c r="N5" s="3" t="s">
        <v>17</v>
      </c>
      <c r="O5" s="3">
        <f t="shared" si="0"/>
        <v>122.39999999999998</v>
      </c>
      <c r="P5" s="3">
        <f t="shared" si="1"/>
        <v>8.8000000000000114</v>
      </c>
      <c r="Q5" s="3">
        <f t="shared" si="2"/>
        <v>76.400000000000006</v>
      </c>
      <c r="R5" s="3"/>
      <c r="S5" s="3">
        <f t="shared" si="3"/>
        <v>124.21699999999998</v>
      </c>
      <c r="T5" s="3">
        <f t="shared" si="4"/>
        <v>72.840999999999994</v>
      </c>
      <c r="U5" s="3"/>
      <c r="V5" s="3" t="s">
        <v>17</v>
      </c>
      <c r="W5" s="3" t="b">
        <f t="shared" si="5"/>
        <v>0</v>
      </c>
      <c r="X5" s="3" t="b">
        <f t="shared" si="6"/>
        <v>1</v>
      </c>
      <c r="Y5" s="3"/>
      <c r="Z5" s="4">
        <f t="shared" si="7"/>
        <v>-6.4347826086956328E-2</v>
      </c>
      <c r="AA5" s="4">
        <f t="shared" si="8"/>
        <v>2.051282051282044E-2</v>
      </c>
      <c r="AC5">
        <f t="shared" si="9"/>
        <v>7.3999999999999773</v>
      </c>
      <c r="AD5">
        <f t="shared" si="10"/>
        <v>-1.5999999999999943</v>
      </c>
    </row>
    <row r="6" spans="1:30" x14ac:dyDescent="0.35">
      <c r="A6" s="3">
        <v>5</v>
      </c>
      <c r="B6" s="3">
        <v>257.5</v>
      </c>
      <c r="C6" s="3">
        <v>382.1</v>
      </c>
      <c r="D6" s="3">
        <v>-99</v>
      </c>
      <c r="E6" s="3">
        <v>-90.4</v>
      </c>
      <c r="F6" s="3">
        <v>-75.7</v>
      </c>
      <c r="G6" s="3">
        <v>9.8000000000000007</v>
      </c>
      <c r="H6" s="3"/>
      <c r="I6" s="3">
        <v>62.932000000000002</v>
      </c>
      <c r="J6" s="3">
        <v>188.536</v>
      </c>
      <c r="K6" s="3">
        <v>59.402000000000001</v>
      </c>
      <c r="L6" s="3">
        <v>141.31899999999999</v>
      </c>
      <c r="M6" s="3"/>
      <c r="N6" s="3" t="s">
        <v>17</v>
      </c>
      <c r="O6" s="3">
        <f t="shared" si="0"/>
        <v>124.60000000000002</v>
      </c>
      <c r="P6" s="3">
        <f t="shared" si="1"/>
        <v>8.5999999999999943</v>
      </c>
      <c r="Q6" s="3">
        <f t="shared" si="2"/>
        <v>85.5</v>
      </c>
      <c r="R6" s="3"/>
      <c r="S6" s="3">
        <f t="shared" si="3"/>
        <v>125.604</v>
      </c>
      <c r="T6" s="3">
        <f t="shared" si="4"/>
        <v>81.916999999999987</v>
      </c>
      <c r="U6" s="3"/>
      <c r="V6" s="3" t="s">
        <v>17</v>
      </c>
      <c r="W6" s="3" t="b">
        <f t="shared" si="5"/>
        <v>0</v>
      </c>
      <c r="X6" s="3" t="b">
        <f t="shared" si="6"/>
        <v>0</v>
      </c>
      <c r="Y6" s="3"/>
      <c r="Z6" s="4">
        <f t="shared" si="7"/>
        <v>-8.3478260869565446E-2</v>
      </c>
      <c r="AA6" s="4">
        <f t="shared" si="8"/>
        <v>-9.6153846153846256E-2</v>
      </c>
      <c r="AC6">
        <f t="shared" si="9"/>
        <v>9.6000000000000227</v>
      </c>
      <c r="AD6">
        <f t="shared" si="10"/>
        <v>7.5</v>
      </c>
    </row>
    <row r="7" spans="1:30" x14ac:dyDescent="0.35">
      <c r="A7" s="3">
        <v>6</v>
      </c>
      <c r="B7" s="3">
        <v>257.5</v>
      </c>
      <c r="C7" s="3">
        <v>387.1</v>
      </c>
      <c r="D7" s="3">
        <v>-99.1</v>
      </c>
      <c r="E7" s="3">
        <v>-91.3</v>
      </c>
      <c r="F7" s="3">
        <v>-68.3</v>
      </c>
      <c r="G7" s="3">
        <v>10.1</v>
      </c>
      <c r="H7" s="3"/>
      <c r="I7" s="3">
        <v>62.758000000000003</v>
      </c>
      <c r="J7" s="3">
        <v>192.90299999999999</v>
      </c>
      <c r="K7" s="3">
        <v>59.091000000000001</v>
      </c>
      <c r="L7" s="3">
        <v>136.786</v>
      </c>
      <c r="M7" s="3"/>
      <c r="N7" s="3" t="s">
        <v>17</v>
      </c>
      <c r="O7" s="3">
        <f t="shared" si="0"/>
        <v>129.60000000000002</v>
      </c>
      <c r="P7" s="3">
        <f t="shared" si="1"/>
        <v>7.7999999999999972</v>
      </c>
      <c r="Q7" s="3">
        <f t="shared" si="2"/>
        <v>78.399999999999991</v>
      </c>
      <c r="R7" s="3"/>
      <c r="S7" s="3">
        <f t="shared" si="3"/>
        <v>130.14499999999998</v>
      </c>
      <c r="T7" s="3">
        <f t="shared" si="4"/>
        <v>77.694999999999993</v>
      </c>
      <c r="U7" s="3"/>
      <c r="V7" s="3" t="s">
        <v>17</v>
      </c>
      <c r="W7" s="3" t="b">
        <f t="shared" si="5"/>
        <v>0</v>
      </c>
      <c r="X7" s="3" t="b">
        <f t="shared" si="6"/>
        <v>1</v>
      </c>
      <c r="Y7" s="3"/>
      <c r="Z7" s="4">
        <f t="shared" si="7"/>
        <v>-0.12695652173913063</v>
      </c>
      <c r="AA7" s="4">
        <f t="shared" si="8"/>
        <v>-5.12820512820511E-3</v>
      </c>
      <c r="AC7">
        <f t="shared" si="9"/>
        <v>14.600000000000023</v>
      </c>
      <c r="AD7">
        <f t="shared" si="10"/>
        <v>0.39999999999999147</v>
      </c>
    </row>
    <row r="8" spans="1:30" x14ac:dyDescent="0.35">
      <c r="A8" s="3">
        <v>7</v>
      </c>
      <c r="B8" s="3">
        <v>231.8</v>
      </c>
      <c r="C8" s="3">
        <v>380</v>
      </c>
      <c r="D8" s="3">
        <v>-100.5</v>
      </c>
      <c r="E8" s="3">
        <v>-90.1</v>
      </c>
      <c r="F8" s="3">
        <v>-87</v>
      </c>
      <c r="G8" s="3">
        <v>10.5</v>
      </c>
      <c r="H8" s="3"/>
      <c r="I8" s="3">
        <v>61.5</v>
      </c>
      <c r="J8" s="3">
        <v>217.55199999999999</v>
      </c>
      <c r="K8" s="3">
        <v>59.65</v>
      </c>
      <c r="L8" s="3">
        <v>150.232</v>
      </c>
      <c r="M8" s="3"/>
      <c r="N8" s="3" t="s">
        <v>17</v>
      </c>
      <c r="O8" s="3">
        <f t="shared" si="0"/>
        <v>148.19999999999999</v>
      </c>
      <c r="P8" s="3">
        <f t="shared" si="1"/>
        <v>10.400000000000006</v>
      </c>
      <c r="Q8" s="3">
        <f t="shared" si="2"/>
        <v>97.5</v>
      </c>
      <c r="R8" s="3"/>
      <c r="S8" s="3">
        <f t="shared" si="3"/>
        <v>156.05199999999999</v>
      </c>
      <c r="T8" s="3">
        <f t="shared" si="4"/>
        <v>90.581999999999994</v>
      </c>
      <c r="U8" s="3"/>
      <c r="V8" s="3" t="s">
        <v>17</v>
      </c>
      <c r="W8" s="3" t="b">
        <f t="shared" si="5"/>
        <v>0</v>
      </c>
      <c r="X8" s="3" t="b">
        <f t="shared" si="6"/>
        <v>0</v>
      </c>
      <c r="Y8" s="3"/>
      <c r="Z8" s="4">
        <f t="shared" si="7"/>
        <v>-0.28869565217391302</v>
      </c>
      <c r="AA8" s="4">
        <f t="shared" si="8"/>
        <v>-0.25</v>
      </c>
      <c r="AC8">
        <f t="shared" si="9"/>
        <v>33.199999999999989</v>
      </c>
      <c r="AD8">
        <f t="shared" si="10"/>
        <v>19.5</v>
      </c>
    </row>
    <row r="9" spans="1:30" x14ac:dyDescent="0.35">
      <c r="A9" s="3">
        <v>8</v>
      </c>
      <c r="B9" s="3">
        <v>246.1</v>
      </c>
      <c r="C9" s="3">
        <v>387.1</v>
      </c>
      <c r="D9" s="3">
        <v>-99.2</v>
      </c>
      <c r="E9" s="3">
        <v>-91.9</v>
      </c>
      <c r="F9" s="3">
        <v>-75.2</v>
      </c>
      <c r="G9" s="3">
        <v>19.3</v>
      </c>
      <c r="H9" s="3"/>
      <c r="I9" s="3">
        <v>63.619</v>
      </c>
      <c r="J9" s="3">
        <v>204.88300000000001</v>
      </c>
      <c r="K9" s="3">
        <v>58.65</v>
      </c>
      <c r="L9" s="3">
        <v>151.89599999999999</v>
      </c>
      <c r="M9" s="3"/>
      <c r="N9" s="3" t="s">
        <v>17</v>
      </c>
      <c r="O9" s="3">
        <f t="shared" si="0"/>
        <v>141.00000000000003</v>
      </c>
      <c r="P9" s="3">
        <f t="shared" si="1"/>
        <v>7.2999999999999972</v>
      </c>
      <c r="Q9" s="3">
        <f t="shared" si="2"/>
        <v>94.5</v>
      </c>
      <c r="R9" s="3"/>
      <c r="S9" s="3">
        <f t="shared" si="3"/>
        <v>141.26400000000001</v>
      </c>
      <c r="T9" s="3">
        <f t="shared" si="4"/>
        <v>93.245999999999981</v>
      </c>
      <c r="U9" s="3"/>
      <c r="V9" s="3" t="s">
        <v>17</v>
      </c>
      <c r="W9" s="3" t="b">
        <f t="shared" si="5"/>
        <v>0</v>
      </c>
      <c r="X9" s="3" t="b">
        <f t="shared" si="6"/>
        <v>0</v>
      </c>
      <c r="Y9" s="3"/>
      <c r="Z9" s="4">
        <f t="shared" si="7"/>
        <v>-0.22608695652173938</v>
      </c>
      <c r="AA9" s="4">
        <f t="shared" si="8"/>
        <v>-0.21153846153846145</v>
      </c>
      <c r="AC9">
        <f t="shared" si="9"/>
        <v>26.000000000000028</v>
      </c>
      <c r="AD9">
        <f t="shared" si="10"/>
        <v>16.5</v>
      </c>
    </row>
    <row r="10" spans="1:30" x14ac:dyDescent="0.35">
      <c r="A10">
        <v>9</v>
      </c>
      <c r="B10">
        <v>86.5</v>
      </c>
      <c r="C10">
        <v>161.69999999999999</v>
      </c>
      <c r="D10">
        <v>-99.8</v>
      </c>
      <c r="E10">
        <v>-95.9</v>
      </c>
      <c r="F10">
        <v>-139.5</v>
      </c>
      <c r="G10">
        <v>23</v>
      </c>
      <c r="I10">
        <v>57.828000000000003</v>
      </c>
      <c r="J10">
        <v>223.72499999999999</v>
      </c>
      <c r="K10">
        <v>57.591999999999999</v>
      </c>
      <c r="L10">
        <v>137.85499999999999</v>
      </c>
      <c r="N10" t="s">
        <v>19</v>
      </c>
      <c r="O10">
        <f t="shared" si="0"/>
        <v>75.199999999999989</v>
      </c>
      <c r="P10">
        <f t="shared" si="1"/>
        <v>3.8999999999999915</v>
      </c>
      <c r="Q10">
        <f t="shared" si="2"/>
        <v>162.5</v>
      </c>
      <c r="S10">
        <f t="shared" si="3"/>
        <v>165.89699999999999</v>
      </c>
      <c r="T10">
        <f t="shared" si="4"/>
        <v>80.262999999999991</v>
      </c>
      <c r="V10" t="s">
        <v>19</v>
      </c>
      <c r="W10" t="b">
        <f t="shared" si="5"/>
        <v>1</v>
      </c>
      <c r="X10" t="b">
        <f t="shared" si="6"/>
        <v>1</v>
      </c>
      <c r="Z10" s="2">
        <f t="shared" si="7"/>
        <v>-1.6216216216216051E-2</v>
      </c>
      <c r="AA10" s="2">
        <f t="shared" si="8"/>
        <v>-9.3167701863354768E-3</v>
      </c>
      <c r="AC10">
        <f t="shared" si="9"/>
        <v>1.1999999999999886</v>
      </c>
      <c r="AD10">
        <f t="shared" si="10"/>
        <v>1.5</v>
      </c>
    </row>
    <row r="11" spans="1:30" x14ac:dyDescent="0.35">
      <c r="A11" s="3">
        <v>10</v>
      </c>
      <c r="B11" s="3">
        <v>85.7</v>
      </c>
      <c r="C11" s="3">
        <v>161.19999999999999</v>
      </c>
      <c r="D11" s="3">
        <v>-99.3</v>
      </c>
      <c r="E11" s="3">
        <v>-94.6</v>
      </c>
      <c r="F11" s="3">
        <v>-139.5</v>
      </c>
      <c r="G11" s="3">
        <v>-13.5</v>
      </c>
      <c r="H11" s="3"/>
      <c r="I11" s="3">
        <v>59.027999999999999</v>
      </c>
      <c r="J11" s="3">
        <v>188.89400000000001</v>
      </c>
      <c r="K11" s="3">
        <v>58.817999999999998</v>
      </c>
      <c r="L11" s="3">
        <v>142.77099999999999</v>
      </c>
      <c r="M11" s="3"/>
      <c r="N11" s="3" t="s">
        <v>21</v>
      </c>
      <c r="O11" s="3">
        <f t="shared" si="0"/>
        <v>75.499999999999986</v>
      </c>
      <c r="P11" s="3">
        <f t="shared" si="1"/>
        <v>4.7000000000000028</v>
      </c>
      <c r="Q11" s="3">
        <f t="shared" si="2"/>
        <v>126</v>
      </c>
      <c r="R11" s="3"/>
      <c r="S11" s="3">
        <f t="shared" si="3"/>
        <v>129.86600000000001</v>
      </c>
      <c r="T11" s="3">
        <f t="shared" si="4"/>
        <v>83.952999999999989</v>
      </c>
      <c r="U11" s="3"/>
      <c r="V11" s="3" t="s">
        <v>21</v>
      </c>
      <c r="W11" s="3" t="str">
        <f t="shared" si="5"/>
        <v/>
      </c>
      <c r="X11" s="3" t="str">
        <f t="shared" si="6"/>
        <v/>
      </c>
      <c r="Y11" s="3"/>
      <c r="Z11" s="4" t="str">
        <f t="shared" si="7"/>
        <v/>
      </c>
      <c r="AA11" s="4" t="str">
        <f t="shared" si="8"/>
        <v/>
      </c>
      <c r="AC11" t="str">
        <f t="shared" si="9"/>
        <v/>
      </c>
      <c r="AD11" t="str">
        <f t="shared" si="10"/>
        <v/>
      </c>
    </row>
    <row r="12" spans="1:30" x14ac:dyDescent="0.35">
      <c r="A12" s="3">
        <v>11</v>
      </c>
      <c r="B12" s="3">
        <v>85.7</v>
      </c>
      <c r="C12" s="3">
        <v>161.1</v>
      </c>
      <c r="D12" s="3">
        <v>-99</v>
      </c>
      <c r="E12" s="3">
        <v>-95.5</v>
      </c>
      <c r="F12" s="3">
        <v>-139.4</v>
      </c>
      <c r="G12" s="3">
        <v>-24</v>
      </c>
      <c r="H12" s="3"/>
      <c r="I12" s="3">
        <v>59.106000000000002</v>
      </c>
      <c r="J12" s="3">
        <v>175.53100000000001</v>
      </c>
      <c r="K12" s="3">
        <v>58.820999999999998</v>
      </c>
      <c r="L12" s="3">
        <v>139.89400000000001</v>
      </c>
      <c r="M12" s="3"/>
      <c r="N12" s="3" t="s">
        <v>21</v>
      </c>
      <c r="O12" s="3">
        <f t="shared" si="0"/>
        <v>75.399999999999991</v>
      </c>
      <c r="P12" s="3">
        <f t="shared" si="1"/>
        <v>3.5</v>
      </c>
      <c r="Q12" s="3">
        <f t="shared" si="2"/>
        <v>115.4</v>
      </c>
      <c r="R12" s="3"/>
      <c r="S12" s="3">
        <f t="shared" si="3"/>
        <v>116.42500000000001</v>
      </c>
      <c r="T12" s="3">
        <f t="shared" si="4"/>
        <v>81.073000000000008</v>
      </c>
      <c r="U12" s="3"/>
      <c r="V12" s="3" t="s">
        <v>21</v>
      </c>
      <c r="W12" s="3" t="str">
        <f t="shared" si="5"/>
        <v/>
      </c>
      <c r="X12" s="3" t="str">
        <f t="shared" si="6"/>
        <v/>
      </c>
      <c r="Y12" s="3"/>
      <c r="Z12" s="4" t="str">
        <f t="shared" si="7"/>
        <v/>
      </c>
      <c r="AA12" s="4" t="str">
        <f t="shared" si="8"/>
        <v/>
      </c>
      <c r="AC12" t="str">
        <f t="shared" si="9"/>
        <v/>
      </c>
      <c r="AD12" t="str">
        <f t="shared" si="10"/>
        <v/>
      </c>
    </row>
    <row r="13" spans="1:30" x14ac:dyDescent="0.35">
      <c r="A13" s="3">
        <v>12</v>
      </c>
      <c r="B13" s="3">
        <v>86.3</v>
      </c>
      <c r="C13" s="3">
        <v>161.30000000000001</v>
      </c>
      <c r="D13" s="3">
        <v>-98.6</v>
      </c>
      <c r="E13" s="3">
        <v>-94.9</v>
      </c>
      <c r="F13" s="3">
        <v>-139</v>
      </c>
      <c r="G13" s="3">
        <v>-26</v>
      </c>
      <c r="H13" s="3"/>
      <c r="I13" s="3">
        <v>58.655000000000001</v>
      </c>
      <c r="J13" s="3">
        <v>177.50899999999999</v>
      </c>
      <c r="K13" s="3">
        <v>58.7</v>
      </c>
      <c r="L13" s="3">
        <v>142</v>
      </c>
      <c r="M13" s="3"/>
      <c r="N13" s="3" t="s">
        <v>21</v>
      </c>
      <c r="O13" s="3">
        <f t="shared" si="0"/>
        <v>75.000000000000014</v>
      </c>
      <c r="P13" s="3">
        <f t="shared" si="1"/>
        <v>3.6999999999999886</v>
      </c>
      <c r="Q13" s="3">
        <f t="shared" si="2"/>
        <v>113</v>
      </c>
      <c r="R13" s="3"/>
      <c r="S13" s="3">
        <f t="shared" si="3"/>
        <v>118.85399999999998</v>
      </c>
      <c r="T13" s="3">
        <f t="shared" si="4"/>
        <v>83.3</v>
      </c>
      <c r="U13" s="3"/>
      <c r="V13" s="3" t="s">
        <v>21</v>
      </c>
      <c r="W13" s="3" t="str">
        <f t="shared" si="5"/>
        <v/>
      </c>
      <c r="X13" s="3" t="str">
        <f t="shared" si="6"/>
        <v/>
      </c>
      <c r="Y13" s="3"/>
      <c r="Z13" s="4" t="str">
        <f t="shared" si="7"/>
        <v/>
      </c>
      <c r="AA13" s="4" t="str">
        <f t="shared" si="8"/>
        <v/>
      </c>
      <c r="AC13" t="str">
        <f t="shared" si="9"/>
        <v/>
      </c>
      <c r="AD13" t="str">
        <f t="shared" si="10"/>
        <v/>
      </c>
    </row>
    <row r="14" spans="1:30" x14ac:dyDescent="0.35">
      <c r="A14">
        <v>13</v>
      </c>
      <c r="B14">
        <v>86.3</v>
      </c>
      <c r="C14">
        <v>161.30000000000001</v>
      </c>
      <c r="D14">
        <v>-99.1</v>
      </c>
      <c r="E14">
        <v>-94.9</v>
      </c>
      <c r="F14">
        <v>-138.5</v>
      </c>
      <c r="G14">
        <v>23.8</v>
      </c>
      <c r="I14">
        <v>57.843000000000004</v>
      </c>
      <c r="J14">
        <v>223.285</v>
      </c>
      <c r="K14">
        <v>58.701000000000001</v>
      </c>
      <c r="L14">
        <v>138.459</v>
      </c>
      <c r="N14" t="s">
        <v>19</v>
      </c>
      <c r="O14">
        <f t="shared" si="0"/>
        <v>75.000000000000014</v>
      </c>
      <c r="P14">
        <f t="shared" si="1"/>
        <v>4.1999999999999886</v>
      </c>
      <c r="Q14">
        <f t="shared" si="2"/>
        <v>162.30000000000001</v>
      </c>
      <c r="S14">
        <f t="shared" si="3"/>
        <v>165.44200000000001</v>
      </c>
      <c r="T14">
        <f t="shared" si="4"/>
        <v>79.75800000000001</v>
      </c>
      <c r="V14" t="s">
        <v>19</v>
      </c>
      <c r="W14" t="b">
        <f t="shared" si="5"/>
        <v>1</v>
      </c>
      <c r="X14" t="b">
        <f t="shared" si="6"/>
        <v>1</v>
      </c>
      <c r="Z14" s="2">
        <f t="shared" si="7"/>
        <v>-1.3513513513513598E-2</v>
      </c>
      <c r="AA14" s="2">
        <f t="shared" si="8"/>
        <v>-8.0745341614907318E-3</v>
      </c>
      <c r="AC14">
        <f t="shared" si="9"/>
        <v>1.0000000000000142</v>
      </c>
      <c r="AD14">
        <f t="shared" si="10"/>
        <v>1.3000000000000114</v>
      </c>
    </row>
    <row r="15" spans="1:30" x14ac:dyDescent="0.35">
      <c r="A15">
        <v>14</v>
      </c>
      <c r="B15">
        <v>86.3</v>
      </c>
      <c r="C15">
        <v>161.30000000000001</v>
      </c>
      <c r="D15">
        <v>-99.1</v>
      </c>
      <c r="E15">
        <v>-94.9</v>
      </c>
      <c r="F15">
        <v>-139</v>
      </c>
      <c r="G15">
        <v>23.7</v>
      </c>
      <c r="I15">
        <v>57.838000000000001</v>
      </c>
      <c r="J15">
        <v>223.86099999999999</v>
      </c>
      <c r="K15">
        <v>58.701999999999998</v>
      </c>
      <c r="L15">
        <v>138.36600000000001</v>
      </c>
      <c r="N15" t="s">
        <v>19</v>
      </c>
      <c r="O15">
        <f t="shared" si="0"/>
        <v>75.000000000000014</v>
      </c>
      <c r="P15">
        <f t="shared" si="1"/>
        <v>4.1999999999999886</v>
      </c>
      <c r="Q15">
        <f t="shared" si="2"/>
        <v>162.69999999999999</v>
      </c>
      <c r="S15">
        <f t="shared" si="3"/>
        <v>166.023</v>
      </c>
      <c r="T15">
        <f t="shared" si="4"/>
        <v>79.664000000000016</v>
      </c>
      <c r="V15" t="s">
        <v>19</v>
      </c>
      <c r="W15" t="b">
        <f t="shared" si="5"/>
        <v>1</v>
      </c>
      <c r="X15" t="b">
        <f t="shared" si="6"/>
        <v>1</v>
      </c>
      <c r="Z15" s="2">
        <f t="shared" si="7"/>
        <v>-1.3513513513513598E-2</v>
      </c>
      <c r="AA15" s="2">
        <f t="shared" si="8"/>
        <v>-1.055900621118E-2</v>
      </c>
      <c r="AC15">
        <f t="shared" si="9"/>
        <v>1.0000000000000142</v>
      </c>
      <c r="AD15">
        <f t="shared" si="10"/>
        <v>1.6999999999999886</v>
      </c>
    </row>
    <row r="16" spans="1:30" x14ac:dyDescent="0.35">
      <c r="A16">
        <v>15</v>
      </c>
      <c r="B16">
        <v>212.3</v>
      </c>
      <c r="C16">
        <v>383.4</v>
      </c>
      <c r="D16">
        <v>-100.1</v>
      </c>
      <c r="E16">
        <v>-91.7</v>
      </c>
      <c r="F16">
        <v>-213.7</v>
      </c>
      <c r="G16">
        <v>-91.5</v>
      </c>
      <c r="I16">
        <v>58.345999999999997</v>
      </c>
      <c r="J16">
        <v>229.24799999999999</v>
      </c>
      <c r="K16">
        <v>57.863</v>
      </c>
      <c r="L16">
        <v>179.74199999999999</v>
      </c>
      <c r="N16" t="s">
        <v>18</v>
      </c>
      <c r="O16">
        <f t="shared" si="0"/>
        <v>171.09999999999997</v>
      </c>
      <c r="P16">
        <f t="shared" si="1"/>
        <v>8.3999999999999915</v>
      </c>
      <c r="Q16">
        <f t="shared" si="2"/>
        <v>122.19999999999999</v>
      </c>
      <c r="S16">
        <f t="shared" si="3"/>
        <v>170.90199999999999</v>
      </c>
      <c r="T16">
        <f t="shared" si="4"/>
        <v>121.87899999999999</v>
      </c>
      <c r="V16" t="s">
        <v>18</v>
      </c>
      <c r="W16" t="b">
        <f t="shared" si="5"/>
        <v>1</v>
      </c>
      <c r="X16" t="b">
        <f t="shared" si="6"/>
        <v>1</v>
      </c>
      <c r="Z16" s="2">
        <f t="shared" si="7"/>
        <v>-6.4705882352940058E-3</v>
      </c>
      <c r="AA16" s="2">
        <f t="shared" si="8"/>
        <v>2.2400000000000087E-2</v>
      </c>
      <c r="AC16">
        <f t="shared" si="9"/>
        <v>1.0999999999999659</v>
      </c>
      <c r="AD16">
        <f t="shared" si="10"/>
        <v>-2.8000000000000114</v>
      </c>
    </row>
    <row r="17" spans="1:30" x14ac:dyDescent="0.35">
      <c r="A17" s="3">
        <v>16</v>
      </c>
      <c r="B17" s="3">
        <v>212.1</v>
      </c>
      <c r="C17" s="3">
        <v>374.9</v>
      </c>
      <c r="D17" s="3">
        <v>-129.80000000000001</v>
      </c>
      <c r="E17" s="3">
        <v>-94.3</v>
      </c>
      <c r="F17" s="3">
        <v>-162.19999999999999</v>
      </c>
      <c r="G17" s="3">
        <v>-69.599999999999994</v>
      </c>
      <c r="H17" s="3"/>
      <c r="I17" s="3">
        <v>57.219000000000001</v>
      </c>
      <c r="J17" s="3">
        <v>222.655</v>
      </c>
      <c r="K17" s="3">
        <v>61.201999999999998</v>
      </c>
      <c r="L17" s="3">
        <v>149.279</v>
      </c>
      <c r="M17" s="3"/>
      <c r="N17" s="3" t="s">
        <v>20</v>
      </c>
      <c r="O17" s="3">
        <f t="shared" si="0"/>
        <v>162.79999999999998</v>
      </c>
      <c r="P17" s="3">
        <f t="shared" si="1"/>
        <v>35.500000000000014</v>
      </c>
      <c r="Q17" s="3">
        <f t="shared" si="2"/>
        <v>92.6</v>
      </c>
      <c r="R17" s="3"/>
      <c r="S17" s="3">
        <f t="shared" si="3"/>
        <v>165.43600000000001</v>
      </c>
      <c r="T17" s="3">
        <f t="shared" si="4"/>
        <v>88.076999999999998</v>
      </c>
      <c r="U17" s="3"/>
      <c r="V17" s="3" t="s">
        <v>20</v>
      </c>
      <c r="W17" s="3" t="str">
        <f t="shared" si="5"/>
        <v/>
      </c>
      <c r="X17" s="3" t="str">
        <f t="shared" si="6"/>
        <v/>
      </c>
      <c r="Y17" s="3"/>
      <c r="Z17" s="4" t="str">
        <f t="shared" si="7"/>
        <v/>
      </c>
      <c r="AA17" s="4" t="str">
        <f t="shared" si="8"/>
        <v/>
      </c>
      <c r="AC17" t="str">
        <f t="shared" si="9"/>
        <v/>
      </c>
      <c r="AD17" t="str">
        <f t="shared" si="10"/>
        <v/>
      </c>
    </row>
    <row r="18" spans="1:30" x14ac:dyDescent="0.35">
      <c r="A18" s="3">
        <v>17</v>
      </c>
      <c r="B18" s="3">
        <v>211.8</v>
      </c>
      <c r="C18" s="3">
        <v>374.1</v>
      </c>
      <c r="D18" s="3">
        <v>-128.6</v>
      </c>
      <c r="E18" s="3">
        <v>-94.5</v>
      </c>
      <c r="F18" s="3">
        <v>-162.69999999999999</v>
      </c>
      <c r="G18" s="3">
        <v>-69.099999999999994</v>
      </c>
      <c r="H18" s="3"/>
      <c r="I18" s="3">
        <v>58.011000000000003</v>
      </c>
      <c r="J18" s="3">
        <v>223.191</v>
      </c>
      <c r="K18" s="3">
        <v>60.99</v>
      </c>
      <c r="L18" s="3">
        <v>148.876</v>
      </c>
      <c r="M18" s="3"/>
      <c r="N18" s="3" t="s">
        <v>20</v>
      </c>
      <c r="O18" s="3">
        <f t="shared" si="0"/>
        <v>162.30000000000001</v>
      </c>
      <c r="P18" s="3">
        <f t="shared" si="1"/>
        <v>34.099999999999994</v>
      </c>
      <c r="Q18" s="3">
        <f t="shared" si="2"/>
        <v>93.6</v>
      </c>
      <c r="R18" s="3"/>
      <c r="S18" s="3">
        <f t="shared" si="3"/>
        <v>165.18</v>
      </c>
      <c r="T18" s="3">
        <f t="shared" si="4"/>
        <v>87.885999999999996</v>
      </c>
      <c r="U18" s="3"/>
      <c r="V18" s="3" t="s">
        <v>20</v>
      </c>
      <c r="W18" s="3" t="str">
        <f t="shared" si="5"/>
        <v/>
      </c>
      <c r="X18" s="3" t="str">
        <f t="shared" si="6"/>
        <v/>
      </c>
      <c r="Y18" s="3"/>
      <c r="Z18" s="4" t="str">
        <f t="shared" si="7"/>
        <v/>
      </c>
      <c r="AA18" s="4" t="str">
        <f t="shared" si="8"/>
        <v/>
      </c>
      <c r="AC18" t="str">
        <f t="shared" si="9"/>
        <v/>
      </c>
      <c r="AD18" t="str">
        <f t="shared" si="10"/>
        <v/>
      </c>
    </row>
    <row r="19" spans="1:30" x14ac:dyDescent="0.35">
      <c r="A19" s="3">
        <v>18</v>
      </c>
      <c r="B19" s="3">
        <v>211.7</v>
      </c>
      <c r="C19" s="3">
        <v>375.1</v>
      </c>
      <c r="D19" s="3">
        <v>-129.6</v>
      </c>
      <c r="E19" s="3">
        <v>-94.5</v>
      </c>
      <c r="F19" s="3">
        <v>-162.69999999999999</v>
      </c>
      <c r="G19" s="3">
        <v>-69.2</v>
      </c>
      <c r="H19" s="3"/>
      <c r="I19" s="3">
        <v>57.895000000000003</v>
      </c>
      <c r="J19" s="3">
        <v>224.11500000000001</v>
      </c>
      <c r="K19" s="3">
        <v>61.313000000000002</v>
      </c>
      <c r="L19" s="3">
        <v>149.20099999999999</v>
      </c>
      <c r="M19" s="3"/>
      <c r="N19" s="3" t="s">
        <v>20</v>
      </c>
      <c r="O19" s="3">
        <f t="shared" si="0"/>
        <v>163.40000000000003</v>
      </c>
      <c r="P19" s="3">
        <f t="shared" si="1"/>
        <v>35.099999999999994</v>
      </c>
      <c r="Q19" s="3">
        <f t="shared" si="2"/>
        <v>93.499999999999986</v>
      </c>
      <c r="R19" s="3"/>
      <c r="S19" s="3">
        <f t="shared" si="3"/>
        <v>166.22</v>
      </c>
      <c r="T19" s="3">
        <f t="shared" si="4"/>
        <v>87.887999999999991</v>
      </c>
      <c r="U19" s="3"/>
      <c r="V19" s="3" t="s">
        <v>20</v>
      </c>
      <c r="W19" s="3" t="str">
        <f t="shared" si="5"/>
        <v/>
      </c>
      <c r="X19" s="3" t="str">
        <f t="shared" si="6"/>
        <v/>
      </c>
      <c r="Y19" s="3"/>
      <c r="Z19" s="4" t="str">
        <f t="shared" si="7"/>
        <v/>
      </c>
      <c r="AA19" s="4" t="str">
        <f t="shared" si="8"/>
        <v/>
      </c>
      <c r="AC19" t="str">
        <f t="shared" si="9"/>
        <v/>
      </c>
      <c r="AD19" t="str">
        <f t="shared" si="10"/>
        <v/>
      </c>
    </row>
    <row r="20" spans="1:30" x14ac:dyDescent="0.35">
      <c r="A20" s="3">
        <v>19</v>
      </c>
      <c r="B20" s="3">
        <v>211.3</v>
      </c>
      <c r="C20" s="3">
        <v>381.9</v>
      </c>
      <c r="D20" s="3">
        <v>-101</v>
      </c>
      <c r="E20" s="3">
        <v>-90.1</v>
      </c>
      <c r="F20" s="3">
        <v>-212.9</v>
      </c>
      <c r="G20" s="3">
        <v>-91.6</v>
      </c>
      <c r="H20" s="3"/>
      <c r="I20" s="3">
        <v>58.957000000000001</v>
      </c>
      <c r="J20" s="3">
        <v>230.018</v>
      </c>
      <c r="K20" s="3">
        <v>58.753</v>
      </c>
      <c r="L20" s="3">
        <v>180.70400000000001</v>
      </c>
      <c r="M20" s="3"/>
      <c r="N20" s="3" t="s">
        <v>18</v>
      </c>
      <c r="O20" s="3">
        <f t="shared" si="0"/>
        <v>170.59999999999997</v>
      </c>
      <c r="P20" s="3">
        <f t="shared" si="1"/>
        <v>10.900000000000006</v>
      </c>
      <c r="Q20" s="3">
        <f t="shared" si="2"/>
        <v>121.30000000000001</v>
      </c>
      <c r="R20" s="3"/>
      <c r="S20" s="3">
        <f t="shared" si="3"/>
        <v>171.06100000000001</v>
      </c>
      <c r="T20" s="3">
        <f t="shared" si="4"/>
        <v>121.95100000000001</v>
      </c>
      <c r="U20" s="3"/>
      <c r="V20" s="3" t="s">
        <v>18</v>
      </c>
      <c r="W20" s="3" t="b">
        <f t="shared" si="5"/>
        <v>1</v>
      </c>
      <c r="X20" s="3" t="b">
        <f t="shared" si="6"/>
        <v>1</v>
      </c>
      <c r="Y20" s="3"/>
      <c r="Z20" s="4">
        <f t="shared" si="7"/>
        <v>-3.529411764705781E-3</v>
      </c>
      <c r="AA20" s="4">
        <f t="shared" si="8"/>
        <v>2.959999999999996E-2</v>
      </c>
      <c r="AC20">
        <f t="shared" si="9"/>
        <v>0.59999999999996589</v>
      </c>
      <c r="AD20">
        <f t="shared" si="10"/>
        <v>-3.6999999999999886</v>
      </c>
    </row>
    <row r="21" spans="1:30" x14ac:dyDescent="0.35">
      <c r="A21" s="3">
        <v>20</v>
      </c>
      <c r="B21" s="3">
        <v>212</v>
      </c>
      <c r="C21" s="3">
        <v>383</v>
      </c>
      <c r="D21" s="3">
        <v>-100</v>
      </c>
      <c r="E21" s="3">
        <v>-92.4</v>
      </c>
      <c r="F21" s="3">
        <v>-213.3</v>
      </c>
      <c r="G21" s="3">
        <v>-91.8</v>
      </c>
      <c r="H21" s="3"/>
      <c r="I21" s="3">
        <v>58.283999999999999</v>
      </c>
      <c r="J21" s="3">
        <v>228.96199999999999</v>
      </c>
      <c r="K21" s="3">
        <v>57.643000000000001</v>
      </c>
      <c r="L21" s="3">
        <v>179.40700000000001</v>
      </c>
      <c r="M21" s="3"/>
      <c r="N21" s="3" t="s">
        <v>18</v>
      </c>
      <c r="O21" s="3">
        <f t="shared" si="0"/>
        <v>171</v>
      </c>
      <c r="P21" s="3">
        <f t="shared" si="1"/>
        <v>7.5999999999999943</v>
      </c>
      <c r="Q21" s="3">
        <f t="shared" si="2"/>
        <v>121.50000000000001</v>
      </c>
      <c r="R21" s="3"/>
      <c r="S21" s="3">
        <f t="shared" si="3"/>
        <v>170.678</v>
      </c>
      <c r="T21" s="3">
        <f t="shared" si="4"/>
        <v>121.76400000000001</v>
      </c>
      <c r="U21" s="3"/>
      <c r="V21" s="3" t="s">
        <v>18</v>
      </c>
      <c r="W21" s="3" t="b">
        <f t="shared" si="5"/>
        <v>1</v>
      </c>
      <c r="X21" s="3" t="b">
        <f t="shared" si="6"/>
        <v>1</v>
      </c>
      <c r="Y21" s="3"/>
      <c r="Z21" s="4">
        <f t="shared" si="7"/>
        <v>-5.8823529411764497E-3</v>
      </c>
      <c r="AA21" s="4">
        <f t="shared" si="8"/>
        <v>2.7999999999999914E-2</v>
      </c>
      <c r="AC21">
        <f t="shared" si="9"/>
        <v>1</v>
      </c>
      <c r="AD21">
        <f t="shared" si="10"/>
        <v>-3.4999999999999858</v>
      </c>
    </row>
    <row r="22" spans="1:30" x14ac:dyDescent="0.35">
      <c r="A22" t="s">
        <v>28</v>
      </c>
      <c r="B22">
        <v>256.3</v>
      </c>
      <c r="C22">
        <v>367.9</v>
      </c>
      <c r="D22">
        <v>-98.2</v>
      </c>
      <c r="E22">
        <v>-91.3</v>
      </c>
      <c r="F22">
        <v>-63.5</v>
      </c>
      <c r="G22">
        <v>11.9</v>
      </c>
      <c r="I22">
        <v>62.457000000000001</v>
      </c>
      <c r="J22">
        <v>174.20500000000001</v>
      </c>
      <c r="K22">
        <v>59.051000000000002</v>
      </c>
      <c r="L22">
        <v>134.238</v>
      </c>
      <c r="N22" t="s">
        <v>17</v>
      </c>
      <c r="O22">
        <f t="shared" si="0"/>
        <v>111.59999999999997</v>
      </c>
      <c r="P22">
        <f t="shared" si="1"/>
        <v>6.9000000000000057</v>
      </c>
      <c r="Q22">
        <f t="shared" si="2"/>
        <v>75.400000000000006</v>
      </c>
      <c r="S22">
        <f t="shared" si="3"/>
        <v>111.74800000000002</v>
      </c>
      <c r="T22">
        <f t="shared" si="4"/>
        <v>75.186999999999998</v>
      </c>
      <c r="V22" t="s">
        <v>17</v>
      </c>
      <c r="W22" t="b">
        <f t="shared" si="5"/>
        <v>1</v>
      </c>
      <c r="X22" t="b">
        <f t="shared" si="6"/>
        <v>1</v>
      </c>
      <c r="Z22" s="2">
        <f t="shared" si="7"/>
        <v>2.9565217391304688E-2</v>
      </c>
      <c r="AA22" s="2">
        <f t="shared" si="8"/>
        <v>3.3333333333333215E-2</v>
      </c>
      <c r="AC22">
        <f t="shared" si="9"/>
        <v>-3.4000000000000341</v>
      </c>
      <c r="AD22">
        <f t="shared" si="10"/>
        <v>-2.5999999999999943</v>
      </c>
    </row>
    <row r="23" spans="1:30" x14ac:dyDescent="0.35">
      <c r="A23" t="s">
        <v>29</v>
      </c>
      <c r="B23">
        <v>255.3</v>
      </c>
      <c r="C23">
        <v>368.6</v>
      </c>
      <c r="D23">
        <v>-99.1</v>
      </c>
      <c r="E23">
        <v>-92.1</v>
      </c>
      <c r="F23">
        <v>-63</v>
      </c>
      <c r="G23">
        <v>12</v>
      </c>
      <c r="I23">
        <v>62.268000000000001</v>
      </c>
      <c r="J23">
        <v>175.666</v>
      </c>
      <c r="K23">
        <v>59.048000000000002</v>
      </c>
      <c r="L23">
        <v>133.364</v>
      </c>
      <c r="N23" t="s">
        <v>17</v>
      </c>
      <c r="O23">
        <f t="shared" ref="O23:O24" si="11">C23-B23</f>
        <v>113.30000000000001</v>
      </c>
      <c r="P23">
        <f t="shared" ref="P23:P24" si="12">E23-D23</f>
        <v>7</v>
      </c>
      <c r="Q23">
        <f t="shared" ref="Q23:Q24" si="13">G23-F23</f>
        <v>75</v>
      </c>
      <c r="S23">
        <f t="shared" si="3"/>
        <v>113.398</v>
      </c>
      <c r="T23">
        <f t="shared" si="4"/>
        <v>74.316000000000003</v>
      </c>
      <c r="V23" t="s">
        <v>17</v>
      </c>
      <c r="W23" t="b">
        <f t="shared" si="5"/>
        <v>1</v>
      </c>
      <c r="X23" t="b">
        <f t="shared" si="6"/>
        <v>1</v>
      </c>
      <c r="Z23" s="2">
        <f t="shared" si="7"/>
        <v>1.4782608695652066E-2</v>
      </c>
      <c r="AA23" s="2">
        <f t="shared" si="8"/>
        <v>3.8461538461538436E-2</v>
      </c>
      <c r="AC23">
        <f t="shared" si="9"/>
        <v>-1.6999999999999886</v>
      </c>
      <c r="AD23">
        <f t="shared" si="10"/>
        <v>-3</v>
      </c>
    </row>
    <row r="24" spans="1:30" x14ac:dyDescent="0.35">
      <c r="A24" t="s">
        <v>30</v>
      </c>
      <c r="B24">
        <v>256.2</v>
      </c>
      <c r="C24">
        <v>367.5</v>
      </c>
      <c r="D24">
        <v>-99</v>
      </c>
      <c r="E24">
        <v>-92.2</v>
      </c>
      <c r="F24">
        <v>-63</v>
      </c>
      <c r="G24">
        <v>10</v>
      </c>
      <c r="I24">
        <v>62.220999999999997</v>
      </c>
      <c r="J24">
        <v>173.79900000000001</v>
      </c>
      <c r="K24">
        <v>58.951000000000001</v>
      </c>
      <c r="L24">
        <v>131.56200000000001</v>
      </c>
      <c r="N24" t="s">
        <v>17</v>
      </c>
      <c r="O24">
        <f t="shared" si="11"/>
        <v>111.30000000000001</v>
      </c>
      <c r="P24">
        <f t="shared" si="12"/>
        <v>6.7999999999999972</v>
      </c>
      <c r="Q24">
        <f t="shared" si="13"/>
        <v>73</v>
      </c>
      <c r="S24">
        <f t="shared" si="3"/>
        <v>111.578</v>
      </c>
      <c r="T24">
        <f t="shared" si="4"/>
        <v>72.611000000000018</v>
      </c>
      <c r="V24" t="s">
        <v>17</v>
      </c>
      <c r="W24" t="b">
        <f>IF(N24="Sblob",
    AND(O24 &gt;= O$28*(1-0.05), O24 &lt;= O$28*(1+0.05)),
IF(N24="Lblob",
    AND(O24 &gt;= O$29*(1-0.05), O24 &lt;= O$29*(1+0.05)),
IF(N24="Rec",
    AND(O24 &gt;= O$30*(1-0.05), O24 &lt;= O$30*(1+0.05)),
""
)))</f>
        <v>1</v>
      </c>
      <c r="X24" t="b">
        <f t="shared" si="6"/>
        <v>0</v>
      </c>
      <c r="Z24" s="2">
        <f t="shared" si="7"/>
        <v>3.2173913043478164E-2</v>
      </c>
      <c r="AA24" s="2">
        <f t="shared" si="8"/>
        <v>6.4102564102564097E-2</v>
      </c>
      <c r="AC24">
        <f t="shared" si="9"/>
        <v>-3.6999999999999886</v>
      </c>
      <c r="AD24">
        <f t="shared" si="10"/>
        <v>-5</v>
      </c>
    </row>
    <row r="26" spans="1:30" ht="16" x14ac:dyDescent="0.4"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31</v>
      </c>
      <c r="J26" s="1" t="s">
        <v>33</v>
      </c>
      <c r="K26" s="1" t="s">
        <v>32</v>
      </c>
      <c r="L26" s="1" t="s">
        <v>34</v>
      </c>
    </row>
    <row r="27" spans="1:30" x14ac:dyDescent="0.35">
      <c r="C27" s="3">
        <v>200</v>
      </c>
      <c r="D27" s="3"/>
      <c r="E27" s="3">
        <v>218</v>
      </c>
      <c r="F27" s="3"/>
      <c r="G27" s="3">
        <v>-250</v>
      </c>
      <c r="I27">
        <v>-197.8665</v>
      </c>
      <c r="J27">
        <v>35</v>
      </c>
      <c r="K27" s="3">
        <f>(500-364-(240-218))</f>
        <v>114</v>
      </c>
      <c r="L27" s="3">
        <v>5</v>
      </c>
    </row>
    <row r="28" spans="1:30" ht="16" x14ac:dyDescent="0.4">
      <c r="B28" t="s">
        <v>18</v>
      </c>
      <c r="C28">
        <f>800-220-170</f>
        <v>410</v>
      </c>
      <c r="D28">
        <f>800-220</f>
        <v>580</v>
      </c>
      <c r="E28">
        <v>60.5</v>
      </c>
      <c r="F28">
        <v>55</v>
      </c>
      <c r="G28">
        <v>320</v>
      </c>
      <c r="H28">
        <v>195</v>
      </c>
      <c r="I28">
        <v>-197.8665</v>
      </c>
      <c r="J28">
        <v>35</v>
      </c>
      <c r="K28" s="3">
        <f>(500-364-(240-218))</f>
        <v>114</v>
      </c>
      <c r="N28" t="s">
        <v>18</v>
      </c>
      <c r="O28">
        <v>170</v>
      </c>
      <c r="P28" t="s">
        <v>20</v>
      </c>
      <c r="Q28">
        <v>125</v>
      </c>
      <c r="V28" s="1" t="s">
        <v>23</v>
      </c>
      <c r="W28" s="1" t="s">
        <v>14</v>
      </c>
      <c r="X28" s="1" t="s">
        <v>15</v>
      </c>
      <c r="Z28" s="1" t="s">
        <v>26</v>
      </c>
      <c r="AA28" s="1" t="s">
        <v>27</v>
      </c>
    </row>
    <row r="29" spans="1:30" x14ac:dyDescent="0.35">
      <c r="B29" t="s">
        <v>17</v>
      </c>
      <c r="C29">
        <f>800-235-115</f>
        <v>450</v>
      </c>
      <c r="D29">
        <f>800-235</f>
        <v>565</v>
      </c>
      <c r="E29">
        <v>59.5</v>
      </c>
      <c r="F29">
        <v>55.5</v>
      </c>
      <c r="G29">
        <v>173</v>
      </c>
      <c r="H29">
        <v>95</v>
      </c>
      <c r="J29">
        <v>25</v>
      </c>
      <c r="K29" s="3">
        <f>(500-364)</f>
        <v>136</v>
      </c>
      <c r="N29" t="s">
        <v>17</v>
      </c>
      <c r="O29">
        <v>115</v>
      </c>
      <c r="P29" t="s">
        <v>20</v>
      </c>
      <c r="Q29">
        <v>78</v>
      </c>
      <c r="U29" t="s">
        <v>18</v>
      </c>
      <c r="V29">
        <v>1</v>
      </c>
      <c r="W29" t="b">
        <f>IF(N2="Sblob",
    AND(S2 &gt;= O$28*(1-0.05), S2 &lt;= O$28*(1+0.05)),
IF(N2="Lblob",
    AND(S2 &gt;= O$29*(1-0.05), S2 &lt;= O$29*(1+0.05)),
IF(N2="Rec",
    AND(S2 &gt;= O$30*(1-0.05), S2 &lt;= O$30*(1+0.05)),
""
)))</f>
        <v>1</v>
      </c>
      <c r="X29" t="b">
        <f>IF(N2="Sblob",
    AND(T2 &gt;= Q$28*(1-0.05), T2 &lt;= Q$28*(1+0.05)),
IF(N2="Lblob",
    AND(T2 &gt;= Q$29*(1-0.05), T2 &lt;= Q$29*(1+0.05)),
IF(N2="Rec",
    AND(T2 &gt;= Q$30*(1-0.05), T2 &lt;= Q$30*(1+0.05)),
""
)))</f>
        <v>1</v>
      </c>
      <c r="Z29">
        <f>IF(N2="Sblob", 1-S2/O$28,
   IF(N2="Lblob", 1-S2/O$29,
   IF(N2="Rec", 1-S2/O$30,
""
)))</f>
        <v>1.6470588235294459E-3</v>
      </c>
      <c r="AA29">
        <f>IF(N2="Sblob", 1-T2/Q$28,
   IF(N2="Lblob", 1-T2/Q$29,
   IF(N2="Rec", 1-T2/Q$30,
""
)))</f>
        <v>2.5935999999999959E-2</v>
      </c>
    </row>
    <row r="30" spans="1:30" x14ac:dyDescent="0.35">
      <c r="B30" t="s">
        <v>19</v>
      </c>
      <c r="C30">
        <v>285</v>
      </c>
      <c r="D30">
        <f>C30+74</f>
        <v>359</v>
      </c>
      <c r="E30">
        <v>60</v>
      </c>
      <c r="F30">
        <v>58</v>
      </c>
      <c r="G30">
        <v>246</v>
      </c>
      <c r="H30">
        <v>85</v>
      </c>
      <c r="N30" t="s">
        <v>19</v>
      </c>
      <c r="O30">
        <v>74</v>
      </c>
      <c r="P30" t="s">
        <v>20</v>
      </c>
      <c r="Q30">
        <v>161</v>
      </c>
      <c r="U30" t="s">
        <v>18</v>
      </c>
      <c r="V30">
        <v>2</v>
      </c>
      <c r="W30" t="b">
        <f t="shared" ref="W30:W53" si="14">IF(N3="Sblob",
    AND(S3 &gt;= O$28*(1-0.05), S3 &lt;= O$28*(1+0.05)),
IF(N3="Lblob",
    AND(S3 &gt;= O$29*(1-0.05), S3 &lt;= O$29*(1+0.05)),
IF(N3="Rec",
    AND(S3 &gt;= O$30*(1-0.05), S3 &lt;= O$30*(1+0.05)),
""
)))</f>
        <v>1</v>
      </c>
      <c r="X30" t="b">
        <f t="shared" ref="X30:X53" si="15">IF(N3="Sblob",
    AND(T3 &gt;= Q$28*(1-0.05), T3 &lt;= Q$28*(1+0.05)),
IF(N3="Lblob",
    AND(T3 &gt;= Q$29*(1-0.05), T3 &lt;= Q$29*(1+0.05)),
IF(N3="Rec",
    AND(T3 &gt;= Q$30*(1-0.05), T3 &lt;= Q$30*(1+0.05)),
""
)))</f>
        <v>1</v>
      </c>
      <c r="Z30">
        <f t="shared" ref="Z30:Z51" si="16">IF(N3="Sblob", 1-S3/O$28,
   IF(N3="Lblob", 1-S3/O$29,
   IF(N3="Rec", 1-S3/O$30,
""
)))</f>
        <v>-3.4176470588234142E-3</v>
      </c>
      <c r="AA30">
        <f t="shared" ref="AA30:AA51" si="17">IF(N3="Sblob", 1-T3/Q$28,
   IF(N3="Lblob", 1-T3/Q$29,
   IF(N3="Rec", 1-T3/Q$30,
""
)))</f>
        <v>2.6488000000000067E-2</v>
      </c>
    </row>
    <row r="31" spans="1:30" x14ac:dyDescent="0.35">
      <c r="C31">
        <f>D33-C33</f>
        <v>170</v>
      </c>
      <c r="G31">
        <f>G33-H33</f>
        <v>125.00000000000006</v>
      </c>
      <c r="N31" t="s">
        <v>21</v>
      </c>
      <c r="O31" t="s">
        <v>20</v>
      </c>
      <c r="P31" t="s">
        <v>20</v>
      </c>
      <c r="Q31" t="s">
        <v>20</v>
      </c>
      <c r="U31" s="3" t="s">
        <v>17</v>
      </c>
      <c r="V31" s="3">
        <v>3</v>
      </c>
      <c r="W31" s="3" t="b">
        <f t="shared" si="14"/>
        <v>0</v>
      </c>
      <c r="X31" s="3" t="b">
        <f t="shared" si="15"/>
        <v>0</v>
      </c>
      <c r="Y31" s="3"/>
      <c r="Z31" s="3">
        <f t="shared" si="16"/>
        <v>-9.648695652173922E-2</v>
      </c>
      <c r="AA31" s="3">
        <f t="shared" si="17"/>
        <v>7.3115384615384693E-2</v>
      </c>
    </row>
    <row r="32" spans="1:30" ht="16" x14ac:dyDescent="0.4">
      <c r="A32" s="1" t="s">
        <v>16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35</v>
      </c>
      <c r="J32" s="1" t="s">
        <v>36</v>
      </c>
      <c r="K32" s="1" t="s">
        <v>37</v>
      </c>
      <c r="L32" s="1" t="s">
        <v>11</v>
      </c>
      <c r="M32" s="1" t="s">
        <v>12</v>
      </c>
      <c r="N32" s="1" t="s">
        <v>13</v>
      </c>
      <c r="U32" s="3" t="s">
        <v>17</v>
      </c>
      <c r="V32" s="3">
        <v>4</v>
      </c>
      <c r="W32" s="3" t="b">
        <f t="shared" si="14"/>
        <v>0</v>
      </c>
      <c r="X32" s="3" t="b">
        <f t="shared" si="15"/>
        <v>0</v>
      </c>
      <c r="Y32" s="3"/>
      <c r="Z32" s="3">
        <f t="shared" si="16"/>
        <v>-8.0147826086956364E-2</v>
      </c>
      <c r="AA32" s="3">
        <f t="shared" si="17"/>
        <v>6.6141025641025752E-2</v>
      </c>
    </row>
    <row r="33" spans="1:27" x14ac:dyDescent="0.35">
      <c r="A33" t="s">
        <v>18</v>
      </c>
      <c r="B33">
        <v>1</v>
      </c>
      <c r="C33">
        <f>B2-$I$27+AC2/2</f>
        <v>410.7165</v>
      </c>
      <c r="D33">
        <f>C2-$I$27-AC2/2</f>
        <v>580.7165</v>
      </c>
      <c r="E33">
        <f>ABS(J$27+D2-AD2/2)</f>
        <v>63.65</v>
      </c>
      <c r="F33">
        <f>ABS(J$27+E2)</f>
        <v>55.3</v>
      </c>
      <c r="G33">
        <f>ABS(F2-K$27+AD2/2)</f>
        <v>329.65000000000003</v>
      </c>
      <c r="H33">
        <f>ABS(G2-K$27-AD2/2)</f>
        <v>204.64999999999998</v>
      </c>
      <c r="I33">
        <f>IF($A33="Sblob", C$28-C33,
   IF($A33="Lblob", C$29-C33,
   IF($A33="Rec", C$30-C33,
""
)))</f>
        <v>-0.71649999999999636</v>
      </c>
      <c r="J33">
        <f>IF($A33="Sblob", E$28-E33,
   IF($A33="Lblob", E$29-E33,
   IF($A33="Rec", E$30-E33,
""
)))</f>
        <v>-3.1499999999999986</v>
      </c>
      <c r="K33">
        <f>IF($A33="Sblob", G$28-G33,
   IF($A33="Lblob", G$29-G33,
   IF($A33="Rec", G$30-G33,
""
)))</f>
        <v>-9.6500000000000341</v>
      </c>
      <c r="L33" t="str">
        <f>IF(ABS(I33)&lt;$L$27,"TRUE","False")</f>
        <v>TRUE</v>
      </c>
      <c r="M33" t="str">
        <f>IF(ABS(K33)&lt;$L$27,"TRUE","False")</f>
        <v>False</v>
      </c>
      <c r="N33" t="str">
        <f>IF(ABS(J33)&lt;$L$27,"TRUE","False")</f>
        <v>TRUE</v>
      </c>
      <c r="P33">
        <f>D33-C33</f>
        <v>170</v>
      </c>
      <c r="Q33">
        <f>G33-H33</f>
        <v>125.00000000000006</v>
      </c>
      <c r="U33" s="3" t="s">
        <v>17</v>
      </c>
      <c r="V33" s="3">
        <v>5</v>
      </c>
      <c r="W33" s="3" t="b">
        <f t="shared" si="14"/>
        <v>0</v>
      </c>
      <c r="X33" s="3" t="b">
        <f t="shared" si="15"/>
        <v>0</v>
      </c>
      <c r="Y33" s="3"/>
      <c r="Z33" s="3">
        <f t="shared" si="16"/>
        <v>-9.2208695652173933E-2</v>
      </c>
      <c r="AA33" s="3">
        <f t="shared" si="17"/>
        <v>-5.0217948717948602E-2</v>
      </c>
    </row>
    <row r="34" spans="1:27" x14ac:dyDescent="0.35">
      <c r="A34" t="s">
        <v>18</v>
      </c>
      <c r="B34">
        <v>2</v>
      </c>
      <c r="C34">
        <f t="shared" ref="C34:C55" si="18">B3-$I$27+AC3/2</f>
        <v>410.9665</v>
      </c>
      <c r="D34">
        <f t="shared" ref="D34:D55" si="19">C3-$I$27-AC3/2</f>
        <v>580.9665</v>
      </c>
      <c r="E34">
        <f t="shared" ref="E34:E55" si="20">ABS(J$27+D3-AD3/2)</f>
        <v>63.1</v>
      </c>
      <c r="F34">
        <f t="shared" ref="F34:F55" si="21">ABS(J$27+E3+AD3/2)</f>
        <v>59.1</v>
      </c>
      <c r="G34">
        <f t="shared" ref="G34:G55" si="22">ABS(F3-K$27+AD3/2)</f>
        <v>329.40000000000003</v>
      </c>
      <c r="H34">
        <f t="shared" ref="H34:H55" si="23">ABS(G3-K$27-AD3/2)</f>
        <v>204.39999999999998</v>
      </c>
      <c r="I34">
        <f t="shared" ref="I34:I52" si="24">IF($A34="Sblob", C$28-C34,
   IF($A34="Lblob", C$29-C34,
   IF($A34="Rec", C$30-C34,
""
)))</f>
        <v>-0.96649999999999636</v>
      </c>
      <c r="J34">
        <f t="shared" ref="J34:J52" si="25">IF($A34="Sblob", E$28-E34,
   IF($A34="Lblob", E$29-E34,
   IF($A34="Rec", E$30-E34,
""
)))</f>
        <v>-2.6000000000000014</v>
      </c>
      <c r="K34">
        <f t="shared" ref="K34:K52" si="26">IF($A34="Sblob", G$28-G34,
   IF($A34="Lblob", G$29-G34,
   IF($A34="Rec", G$30-G34,
""
)))</f>
        <v>-9.4000000000000341</v>
      </c>
      <c r="L34" t="str">
        <f t="shared" ref="L34:L56" si="27">IF(ABS(I34)&lt;$L$27,"TRUE","False")</f>
        <v>TRUE</v>
      </c>
      <c r="M34" t="str">
        <f t="shared" ref="M34:M58" si="28">IF(ABS(K34)&lt;$L$27,"TRUE","False")</f>
        <v>False</v>
      </c>
      <c r="N34" t="str">
        <f t="shared" ref="N34:N55" si="29">IF(ABS(J34)&lt;$L$27,"TRUE","False")</f>
        <v>TRUE</v>
      </c>
      <c r="P34">
        <f t="shared" ref="P34:P56" si="30">D34-C34</f>
        <v>170</v>
      </c>
      <c r="Q34">
        <f t="shared" ref="Q34:Q56" si="31">G34-H34</f>
        <v>125.00000000000006</v>
      </c>
      <c r="U34" s="3" t="s">
        <v>17</v>
      </c>
      <c r="V34" s="3">
        <v>6</v>
      </c>
      <c r="W34" s="3" t="b">
        <f t="shared" si="14"/>
        <v>0</v>
      </c>
      <c r="X34" s="3" t="b">
        <f t="shared" si="15"/>
        <v>1</v>
      </c>
      <c r="Y34" s="3"/>
      <c r="Z34" s="3">
        <f t="shared" si="16"/>
        <v>-0.13169565217391299</v>
      </c>
      <c r="AA34" s="3">
        <f t="shared" si="17"/>
        <v>3.9102564102565518E-3</v>
      </c>
    </row>
    <row r="35" spans="1:27" x14ac:dyDescent="0.35">
      <c r="A35" s="3" t="s">
        <v>17</v>
      </c>
      <c r="B35" s="3">
        <v>3</v>
      </c>
      <c r="C35">
        <f t="shared" si="18"/>
        <v>452.31649999999996</v>
      </c>
      <c r="D35">
        <f t="shared" si="19"/>
        <v>567.31649999999991</v>
      </c>
      <c r="E35">
        <f t="shared" si="20"/>
        <v>62.150000000000006</v>
      </c>
      <c r="F35">
        <f t="shared" si="21"/>
        <v>57.650000000000006</v>
      </c>
      <c r="G35">
        <f t="shared" si="22"/>
        <v>179.05</v>
      </c>
      <c r="H35">
        <f t="shared" si="23"/>
        <v>101.05</v>
      </c>
      <c r="I35" s="3">
        <f t="shared" si="24"/>
        <v>-2.3164999999999623</v>
      </c>
      <c r="J35" s="3">
        <f>IF($A35="Sblob", E$28-E35,
   IF($A35="Lblob", E$29-E35,
   IF($A35="Rec", E$30-E35,
""
)))</f>
        <v>-2.6500000000000057</v>
      </c>
      <c r="K35" s="3">
        <f t="shared" si="26"/>
        <v>-6.0500000000000114</v>
      </c>
      <c r="L35" t="str">
        <f t="shared" si="27"/>
        <v>TRUE</v>
      </c>
      <c r="M35" t="str">
        <f t="shared" si="28"/>
        <v>False</v>
      </c>
      <c r="N35" t="str">
        <f t="shared" si="29"/>
        <v>TRUE</v>
      </c>
      <c r="P35">
        <f t="shared" si="30"/>
        <v>114.99999999999994</v>
      </c>
      <c r="Q35">
        <f t="shared" si="31"/>
        <v>78.000000000000014</v>
      </c>
      <c r="U35" s="3" t="s">
        <v>17</v>
      </c>
      <c r="V35" s="3">
        <v>7</v>
      </c>
      <c r="W35" s="3" t="b">
        <f t="shared" si="14"/>
        <v>0</v>
      </c>
      <c r="X35" s="3" t="b">
        <f t="shared" si="15"/>
        <v>0</v>
      </c>
      <c r="Y35" s="3"/>
      <c r="Z35" s="3">
        <f t="shared" si="16"/>
        <v>-0.35697391304347814</v>
      </c>
      <c r="AA35" s="3">
        <f t="shared" si="17"/>
        <v>-0.16130769230769215</v>
      </c>
    </row>
    <row r="36" spans="1:27" x14ac:dyDescent="0.35">
      <c r="A36" s="3" t="s">
        <v>17</v>
      </c>
      <c r="B36" s="3">
        <v>4</v>
      </c>
      <c r="C36">
        <f t="shared" si="18"/>
        <v>458.56649999999996</v>
      </c>
      <c r="D36">
        <f t="shared" si="19"/>
        <v>573.56649999999991</v>
      </c>
      <c r="E36">
        <f t="shared" si="20"/>
        <v>63.600000000000009</v>
      </c>
      <c r="F36">
        <f t="shared" si="21"/>
        <v>56.399999999999991</v>
      </c>
      <c r="G36">
        <f t="shared" si="22"/>
        <v>181</v>
      </c>
      <c r="H36">
        <f t="shared" si="23"/>
        <v>103</v>
      </c>
      <c r="I36" s="3">
        <f t="shared" si="24"/>
        <v>-8.5664999999999623</v>
      </c>
      <c r="J36" s="3">
        <f t="shared" si="25"/>
        <v>-4.1000000000000085</v>
      </c>
      <c r="K36" s="3">
        <f t="shared" si="26"/>
        <v>-8</v>
      </c>
      <c r="L36" t="str">
        <f t="shared" si="27"/>
        <v>False</v>
      </c>
      <c r="M36" t="str">
        <f t="shared" si="28"/>
        <v>False</v>
      </c>
      <c r="N36" t="str">
        <f t="shared" si="29"/>
        <v>TRUE</v>
      </c>
      <c r="P36">
        <f t="shared" si="30"/>
        <v>114.99999999999994</v>
      </c>
      <c r="Q36">
        <f t="shared" si="31"/>
        <v>78</v>
      </c>
      <c r="U36" s="3" t="s">
        <v>17</v>
      </c>
      <c r="V36" s="3">
        <v>8</v>
      </c>
      <c r="W36" s="3" t="b">
        <f t="shared" si="14"/>
        <v>0</v>
      </c>
      <c r="X36" s="3" t="b">
        <f t="shared" si="15"/>
        <v>0</v>
      </c>
      <c r="Y36" s="3"/>
      <c r="Z36" s="3">
        <f t="shared" si="16"/>
        <v>-0.22838260869565219</v>
      </c>
      <c r="AA36" s="3">
        <f t="shared" si="17"/>
        <v>-0.19546153846153813</v>
      </c>
    </row>
    <row r="37" spans="1:27" x14ac:dyDescent="0.35">
      <c r="A37" s="3" t="s">
        <v>17</v>
      </c>
      <c r="B37" s="3">
        <v>5</v>
      </c>
      <c r="C37">
        <f t="shared" si="18"/>
        <v>460.16649999999998</v>
      </c>
      <c r="D37">
        <f t="shared" si="19"/>
        <v>575.16650000000004</v>
      </c>
      <c r="E37">
        <f t="shared" si="20"/>
        <v>67.75</v>
      </c>
      <c r="F37">
        <f t="shared" si="21"/>
        <v>51.650000000000006</v>
      </c>
      <c r="G37">
        <f t="shared" si="22"/>
        <v>185.95</v>
      </c>
      <c r="H37">
        <f t="shared" si="23"/>
        <v>107.95</v>
      </c>
      <c r="I37" s="3">
        <f t="shared" si="24"/>
        <v>-10.166499999999985</v>
      </c>
      <c r="J37" s="3">
        <f t="shared" si="25"/>
        <v>-8.25</v>
      </c>
      <c r="K37" s="3">
        <f t="shared" si="26"/>
        <v>-12.949999999999989</v>
      </c>
      <c r="L37" t="str">
        <f t="shared" si="27"/>
        <v>False</v>
      </c>
      <c r="M37" t="str">
        <f t="shared" si="28"/>
        <v>False</v>
      </c>
      <c r="N37" t="str">
        <f t="shared" si="29"/>
        <v>False</v>
      </c>
      <c r="P37">
        <f t="shared" si="30"/>
        <v>115.00000000000006</v>
      </c>
      <c r="Q37">
        <f t="shared" si="31"/>
        <v>77.999999999999986</v>
      </c>
      <c r="U37" t="s">
        <v>19</v>
      </c>
      <c r="V37">
        <v>9</v>
      </c>
      <c r="W37" t="b">
        <f t="shared" si="14"/>
        <v>0</v>
      </c>
      <c r="X37" t="b">
        <f t="shared" si="15"/>
        <v>0</v>
      </c>
      <c r="Z37">
        <f t="shared" si="16"/>
        <v>-1.2418513513513512</v>
      </c>
      <c r="AA37">
        <f t="shared" si="17"/>
        <v>0.50147204968944104</v>
      </c>
    </row>
    <row r="38" spans="1:27" x14ac:dyDescent="0.35">
      <c r="A38" s="3" t="s">
        <v>17</v>
      </c>
      <c r="B38" s="3">
        <v>6</v>
      </c>
      <c r="C38">
        <f t="shared" si="18"/>
        <v>462.66649999999998</v>
      </c>
      <c r="D38">
        <f t="shared" si="19"/>
        <v>577.66650000000004</v>
      </c>
      <c r="E38">
        <f t="shared" si="20"/>
        <v>64.299999999999983</v>
      </c>
      <c r="F38">
        <f t="shared" si="21"/>
        <v>56.1</v>
      </c>
      <c r="G38">
        <f t="shared" si="22"/>
        <v>182.10000000000002</v>
      </c>
      <c r="H38">
        <f t="shared" si="23"/>
        <v>104.1</v>
      </c>
      <c r="I38" s="3">
        <f t="shared" si="24"/>
        <v>-12.666499999999985</v>
      </c>
      <c r="J38" s="3">
        <f t="shared" si="25"/>
        <v>-4.7999999999999829</v>
      </c>
      <c r="K38" s="3">
        <f t="shared" si="26"/>
        <v>-9.1000000000000227</v>
      </c>
      <c r="L38" t="str">
        <f t="shared" si="27"/>
        <v>False</v>
      </c>
      <c r="M38" t="str">
        <f t="shared" si="28"/>
        <v>False</v>
      </c>
      <c r="N38" t="str">
        <f t="shared" si="29"/>
        <v>TRUE</v>
      </c>
      <c r="P38">
        <f t="shared" si="30"/>
        <v>115.00000000000006</v>
      </c>
      <c r="Q38">
        <f t="shared" si="31"/>
        <v>78.000000000000028</v>
      </c>
      <c r="U38" s="3" t="s">
        <v>21</v>
      </c>
      <c r="V38" s="3">
        <v>10</v>
      </c>
      <c r="W38" s="3" t="str">
        <f t="shared" si="14"/>
        <v/>
      </c>
      <c r="X38" s="3" t="str">
        <f t="shared" si="15"/>
        <v/>
      </c>
      <c r="Y38" s="3"/>
      <c r="Z38" s="3" t="str">
        <f t="shared" si="16"/>
        <v/>
      </c>
      <c r="AA38" s="3" t="str">
        <f t="shared" si="17"/>
        <v/>
      </c>
    </row>
    <row r="39" spans="1:27" x14ac:dyDescent="0.35">
      <c r="A39" s="3" t="s">
        <v>17</v>
      </c>
      <c r="B39" s="3">
        <v>7</v>
      </c>
      <c r="C39">
        <f t="shared" si="18"/>
        <v>446.26650000000006</v>
      </c>
      <c r="D39">
        <f t="shared" si="19"/>
        <v>561.26649999999995</v>
      </c>
      <c r="E39">
        <f t="shared" si="20"/>
        <v>75.25</v>
      </c>
      <c r="F39">
        <f t="shared" si="21"/>
        <v>45.349999999999994</v>
      </c>
      <c r="G39">
        <f t="shared" si="22"/>
        <v>191.25</v>
      </c>
      <c r="H39">
        <f t="shared" si="23"/>
        <v>113.25</v>
      </c>
      <c r="I39" s="3">
        <f t="shared" si="24"/>
        <v>3.7334999999999354</v>
      </c>
      <c r="J39" s="3">
        <f t="shared" si="25"/>
        <v>-15.75</v>
      </c>
      <c r="K39" s="3">
        <f t="shared" si="26"/>
        <v>-18.25</v>
      </c>
      <c r="L39" t="str">
        <f t="shared" si="27"/>
        <v>TRUE</v>
      </c>
      <c r="M39" t="str">
        <f t="shared" si="28"/>
        <v>False</v>
      </c>
      <c r="N39" t="str">
        <f t="shared" si="29"/>
        <v>False</v>
      </c>
      <c r="P39">
        <f t="shared" si="30"/>
        <v>114.99999999999989</v>
      </c>
      <c r="Q39">
        <f t="shared" si="31"/>
        <v>78</v>
      </c>
      <c r="U39" s="3" t="s">
        <v>21</v>
      </c>
      <c r="V39" s="3">
        <v>11</v>
      </c>
      <c r="W39" s="3" t="str">
        <f t="shared" si="14"/>
        <v/>
      </c>
      <c r="X39" s="3" t="str">
        <f t="shared" si="15"/>
        <v/>
      </c>
      <c r="Y39" s="3"/>
      <c r="Z39" s="3" t="str">
        <f t="shared" si="16"/>
        <v/>
      </c>
      <c r="AA39" s="3" t="str">
        <f t="shared" si="17"/>
        <v/>
      </c>
    </row>
    <row r="40" spans="1:27" x14ac:dyDescent="0.35">
      <c r="A40" s="3" t="s">
        <v>17</v>
      </c>
      <c r="B40" s="3">
        <v>8</v>
      </c>
      <c r="C40">
        <f t="shared" si="18"/>
        <v>456.9665</v>
      </c>
      <c r="D40">
        <f t="shared" si="19"/>
        <v>571.9665</v>
      </c>
      <c r="E40">
        <f t="shared" si="20"/>
        <v>72.45</v>
      </c>
      <c r="F40">
        <f t="shared" si="21"/>
        <v>48.650000000000006</v>
      </c>
      <c r="G40">
        <f t="shared" si="22"/>
        <v>180.95</v>
      </c>
      <c r="H40">
        <f t="shared" si="23"/>
        <v>102.95</v>
      </c>
      <c r="I40" s="3">
        <f t="shared" si="24"/>
        <v>-6.9664999999999964</v>
      </c>
      <c r="J40" s="3">
        <f t="shared" si="25"/>
        <v>-12.950000000000003</v>
      </c>
      <c r="K40" s="3">
        <f t="shared" si="26"/>
        <v>-7.9499999999999886</v>
      </c>
      <c r="L40" t="str">
        <f t="shared" si="27"/>
        <v>False</v>
      </c>
      <c r="M40" t="str">
        <f t="shared" si="28"/>
        <v>False</v>
      </c>
      <c r="N40" t="str">
        <f t="shared" si="29"/>
        <v>False</v>
      </c>
      <c r="P40">
        <f t="shared" si="30"/>
        <v>115</v>
      </c>
      <c r="Q40">
        <f t="shared" si="31"/>
        <v>77.999999999999986</v>
      </c>
      <c r="U40" s="3" t="s">
        <v>21</v>
      </c>
      <c r="V40" s="3">
        <v>12</v>
      </c>
      <c r="W40" s="3" t="str">
        <f t="shared" si="14"/>
        <v/>
      </c>
      <c r="X40" s="3" t="str">
        <f t="shared" si="15"/>
        <v/>
      </c>
      <c r="Y40" s="3"/>
      <c r="Z40" s="3" t="str">
        <f t="shared" si="16"/>
        <v/>
      </c>
      <c r="AA40" s="3" t="str">
        <f t="shared" si="17"/>
        <v/>
      </c>
    </row>
    <row r="41" spans="1:27" x14ac:dyDescent="0.35">
      <c r="A41" t="s">
        <v>19</v>
      </c>
      <c r="B41">
        <v>9</v>
      </c>
      <c r="C41">
        <f t="shared" si="18"/>
        <v>284.9665</v>
      </c>
      <c r="D41">
        <f t="shared" si="19"/>
        <v>358.9665</v>
      </c>
      <c r="E41">
        <f t="shared" si="20"/>
        <v>65.55</v>
      </c>
      <c r="F41">
        <f t="shared" si="21"/>
        <v>60.150000000000006</v>
      </c>
      <c r="G41">
        <f t="shared" si="22"/>
        <v>252.75</v>
      </c>
      <c r="H41">
        <f t="shared" si="23"/>
        <v>91.75</v>
      </c>
      <c r="I41">
        <f t="shared" si="24"/>
        <v>3.3500000000003638E-2</v>
      </c>
      <c r="J41">
        <f t="shared" si="25"/>
        <v>-5.5499999999999972</v>
      </c>
      <c r="K41">
        <f t="shared" si="26"/>
        <v>-6.75</v>
      </c>
      <c r="L41" t="str">
        <f t="shared" si="27"/>
        <v>TRUE</v>
      </c>
      <c r="M41" t="str">
        <f t="shared" si="28"/>
        <v>False</v>
      </c>
      <c r="N41" t="str">
        <f t="shared" si="29"/>
        <v>False</v>
      </c>
      <c r="P41">
        <f t="shared" si="30"/>
        <v>74</v>
      </c>
      <c r="Q41">
        <f t="shared" si="31"/>
        <v>161</v>
      </c>
      <c r="U41" t="s">
        <v>19</v>
      </c>
      <c r="V41">
        <v>13</v>
      </c>
      <c r="W41" t="b">
        <f t="shared" si="14"/>
        <v>0</v>
      </c>
      <c r="X41" t="b">
        <f t="shared" si="15"/>
        <v>0</v>
      </c>
      <c r="Z41">
        <f t="shared" si="16"/>
        <v>-1.235702702702703</v>
      </c>
      <c r="AA41">
        <f t="shared" si="17"/>
        <v>0.50460869565217381</v>
      </c>
    </row>
    <row r="42" spans="1:27" x14ac:dyDescent="0.35">
      <c r="A42" s="3" t="s">
        <v>21</v>
      </c>
      <c r="B42" s="3">
        <v>10</v>
      </c>
      <c r="C42" t="e">
        <f t="shared" si="18"/>
        <v>#VALUE!</v>
      </c>
      <c r="D42" t="e">
        <f t="shared" si="19"/>
        <v>#VALUE!</v>
      </c>
      <c r="E42" t="e">
        <f t="shared" si="20"/>
        <v>#VALUE!</v>
      </c>
      <c r="F42" t="e">
        <f t="shared" si="21"/>
        <v>#VALUE!</v>
      </c>
      <c r="G42" t="e">
        <f t="shared" si="22"/>
        <v>#VALUE!</v>
      </c>
      <c r="H42" t="e">
        <f t="shared" si="23"/>
        <v>#VALUE!</v>
      </c>
      <c r="I42" s="3" t="str">
        <f t="shared" si="24"/>
        <v/>
      </c>
      <c r="J42" s="3" t="str">
        <f t="shared" si="25"/>
        <v/>
      </c>
      <c r="K42" s="3" t="str">
        <f t="shared" si="26"/>
        <v/>
      </c>
      <c r="L42" t="e">
        <f t="shared" si="27"/>
        <v>#VALUE!</v>
      </c>
      <c r="M42" t="e">
        <f t="shared" si="28"/>
        <v>#VALUE!</v>
      </c>
      <c r="N42" t="e">
        <f t="shared" si="29"/>
        <v>#VALUE!</v>
      </c>
      <c r="P42" t="e">
        <f t="shared" si="30"/>
        <v>#VALUE!</v>
      </c>
      <c r="Q42" t="e">
        <f t="shared" si="31"/>
        <v>#VALUE!</v>
      </c>
      <c r="U42" t="s">
        <v>19</v>
      </c>
      <c r="V42">
        <v>14</v>
      </c>
      <c r="W42" t="b">
        <f t="shared" si="14"/>
        <v>0</v>
      </c>
      <c r="X42" t="b">
        <f t="shared" si="15"/>
        <v>0</v>
      </c>
      <c r="Z42">
        <f t="shared" si="16"/>
        <v>-1.2435540540540542</v>
      </c>
      <c r="AA42">
        <f t="shared" si="17"/>
        <v>0.50519254658385082</v>
      </c>
    </row>
    <row r="43" spans="1:27" x14ac:dyDescent="0.35">
      <c r="A43" s="3" t="s">
        <v>21</v>
      </c>
      <c r="B43" s="3">
        <v>11</v>
      </c>
      <c r="C43" t="e">
        <f t="shared" si="18"/>
        <v>#VALUE!</v>
      </c>
      <c r="D43" t="e">
        <f t="shared" si="19"/>
        <v>#VALUE!</v>
      </c>
      <c r="E43" t="e">
        <f t="shared" si="20"/>
        <v>#VALUE!</v>
      </c>
      <c r="F43" t="e">
        <f t="shared" si="21"/>
        <v>#VALUE!</v>
      </c>
      <c r="G43" t="e">
        <f t="shared" si="22"/>
        <v>#VALUE!</v>
      </c>
      <c r="H43" t="e">
        <f t="shared" si="23"/>
        <v>#VALUE!</v>
      </c>
      <c r="I43" s="3" t="str">
        <f t="shared" si="24"/>
        <v/>
      </c>
      <c r="J43" s="3" t="str">
        <f t="shared" si="25"/>
        <v/>
      </c>
      <c r="K43" s="3" t="str">
        <f t="shared" si="26"/>
        <v/>
      </c>
      <c r="L43" t="e">
        <f t="shared" si="27"/>
        <v>#VALUE!</v>
      </c>
      <c r="M43" t="e">
        <f t="shared" si="28"/>
        <v>#VALUE!</v>
      </c>
      <c r="N43" t="e">
        <f t="shared" si="29"/>
        <v>#VALUE!</v>
      </c>
      <c r="P43" t="e">
        <f t="shared" si="30"/>
        <v>#VALUE!</v>
      </c>
      <c r="Q43" t="e">
        <f t="shared" si="31"/>
        <v>#VALUE!</v>
      </c>
      <c r="U43" t="s">
        <v>18</v>
      </c>
      <c r="V43">
        <v>15</v>
      </c>
      <c r="W43" t="b">
        <f t="shared" si="14"/>
        <v>1</v>
      </c>
      <c r="X43" t="b">
        <f t="shared" si="15"/>
        <v>1</v>
      </c>
      <c r="Z43">
        <f t="shared" si="16"/>
        <v>-5.3058823529410493E-3</v>
      </c>
      <c r="AA43">
        <f t="shared" si="17"/>
        <v>2.4968000000000101E-2</v>
      </c>
    </row>
    <row r="44" spans="1:27" x14ac:dyDescent="0.35">
      <c r="A44" s="3" t="s">
        <v>21</v>
      </c>
      <c r="B44" s="3">
        <v>12</v>
      </c>
      <c r="C44" t="e">
        <f t="shared" si="18"/>
        <v>#VALUE!</v>
      </c>
      <c r="D44" t="e">
        <f t="shared" si="19"/>
        <v>#VALUE!</v>
      </c>
      <c r="E44" t="e">
        <f t="shared" si="20"/>
        <v>#VALUE!</v>
      </c>
      <c r="F44" t="e">
        <f t="shared" si="21"/>
        <v>#VALUE!</v>
      </c>
      <c r="G44" t="e">
        <f t="shared" si="22"/>
        <v>#VALUE!</v>
      </c>
      <c r="H44" t="e">
        <f t="shared" si="23"/>
        <v>#VALUE!</v>
      </c>
      <c r="I44" s="3" t="str">
        <f t="shared" si="24"/>
        <v/>
      </c>
      <c r="J44" s="3" t="str">
        <f t="shared" si="25"/>
        <v/>
      </c>
      <c r="K44" s="3" t="str">
        <f t="shared" si="26"/>
        <v/>
      </c>
      <c r="L44" t="e">
        <f t="shared" si="27"/>
        <v>#VALUE!</v>
      </c>
      <c r="M44" t="e">
        <f t="shared" si="28"/>
        <v>#VALUE!</v>
      </c>
      <c r="N44" t="e">
        <f t="shared" si="29"/>
        <v>#VALUE!</v>
      </c>
      <c r="P44" t="e">
        <f t="shared" si="30"/>
        <v>#VALUE!</v>
      </c>
      <c r="Q44" t="e">
        <f t="shared" si="31"/>
        <v>#VALUE!</v>
      </c>
      <c r="U44" s="3" t="s">
        <v>20</v>
      </c>
      <c r="V44" s="3">
        <v>16</v>
      </c>
      <c r="W44" s="3" t="str">
        <f t="shared" si="14"/>
        <v/>
      </c>
      <c r="X44" s="3" t="str">
        <f t="shared" si="15"/>
        <v/>
      </c>
      <c r="Y44" s="3"/>
      <c r="Z44" s="3" t="str">
        <f t="shared" si="16"/>
        <v/>
      </c>
      <c r="AA44" s="3" t="str">
        <f t="shared" si="17"/>
        <v/>
      </c>
    </row>
    <row r="45" spans="1:27" x14ac:dyDescent="0.35">
      <c r="A45" t="s">
        <v>19</v>
      </c>
      <c r="B45">
        <v>13</v>
      </c>
      <c r="C45">
        <f t="shared" si="18"/>
        <v>284.66649999999998</v>
      </c>
      <c r="D45">
        <f t="shared" si="19"/>
        <v>358.66650000000004</v>
      </c>
      <c r="E45">
        <f t="shared" si="20"/>
        <v>64.75</v>
      </c>
      <c r="F45">
        <f t="shared" si="21"/>
        <v>59.25</v>
      </c>
      <c r="G45">
        <f t="shared" si="22"/>
        <v>251.85</v>
      </c>
      <c r="H45">
        <f t="shared" si="23"/>
        <v>90.850000000000009</v>
      </c>
      <c r="I45">
        <f t="shared" si="24"/>
        <v>0.33350000000001501</v>
      </c>
      <c r="J45">
        <f t="shared" si="25"/>
        <v>-4.75</v>
      </c>
      <c r="K45">
        <f t="shared" si="26"/>
        <v>-5.8499999999999943</v>
      </c>
      <c r="L45" t="str">
        <f t="shared" si="27"/>
        <v>TRUE</v>
      </c>
      <c r="M45" t="str">
        <f t="shared" si="28"/>
        <v>False</v>
      </c>
      <c r="N45" t="str">
        <f t="shared" si="29"/>
        <v>TRUE</v>
      </c>
      <c r="P45">
        <f t="shared" si="30"/>
        <v>74.000000000000057</v>
      </c>
      <c r="Q45">
        <f t="shared" si="31"/>
        <v>161</v>
      </c>
      <c r="U45" s="3" t="s">
        <v>20</v>
      </c>
      <c r="V45" s="3">
        <v>17</v>
      </c>
      <c r="W45" s="3" t="str">
        <f t="shared" si="14"/>
        <v/>
      </c>
      <c r="X45" s="3" t="str">
        <f t="shared" si="15"/>
        <v/>
      </c>
      <c r="Y45" s="3"/>
      <c r="Z45" s="3" t="str">
        <f t="shared" si="16"/>
        <v/>
      </c>
      <c r="AA45" s="3" t="str">
        <f t="shared" si="17"/>
        <v/>
      </c>
    </row>
    <row r="46" spans="1:27" x14ac:dyDescent="0.35">
      <c r="A46" t="s">
        <v>19</v>
      </c>
      <c r="B46">
        <v>14</v>
      </c>
      <c r="C46">
        <f t="shared" si="18"/>
        <v>284.66649999999998</v>
      </c>
      <c r="D46">
        <f t="shared" si="19"/>
        <v>358.66650000000004</v>
      </c>
      <c r="E46">
        <f t="shared" si="20"/>
        <v>64.949999999999989</v>
      </c>
      <c r="F46">
        <f t="shared" si="21"/>
        <v>59.050000000000011</v>
      </c>
      <c r="G46">
        <f t="shared" si="22"/>
        <v>252.15</v>
      </c>
      <c r="H46">
        <f t="shared" si="23"/>
        <v>91.149999999999991</v>
      </c>
      <c r="I46">
        <f t="shared" si="24"/>
        <v>0.33350000000001501</v>
      </c>
      <c r="J46">
        <f t="shared" si="25"/>
        <v>-4.9499999999999886</v>
      </c>
      <c r="K46">
        <f t="shared" si="26"/>
        <v>-6.1500000000000057</v>
      </c>
      <c r="L46" t="str">
        <f t="shared" si="27"/>
        <v>TRUE</v>
      </c>
      <c r="M46" t="str">
        <f t="shared" si="28"/>
        <v>False</v>
      </c>
      <c r="N46" t="str">
        <f t="shared" si="29"/>
        <v>TRUE</v>
      </c>
      <c r="P46">
        <f t="shared" si="30"/>
        <v>74.000000000000057</v>
      </c>
      <c r="Q46">
        <f t="shared" si="31"/>
        <v>161</v>
      </c>
      <c r="U46" s="3" t="s">
        <v>20</v>
      </c>
      <c r="V46" s="3">
        <v>18</v>
      </c>
      <c r="W46" s="3" t="str">
        <f t="shared" si="14"/>
        <v/>
      </c>
      <c r="X46" s="3" t="str">
        <f t="shared" si="15"/>
        <v/>
      </c>
      <c r="Y46" s="3"/>
      <c r="Z46" s="3" t="str">
        <f t="shared" si="16"/>
        <v/>
      </c>
      <c r="AA46" s="3" t="str">
        <f t="shared" si="17"/>
        <v/>
      </c>
    </row>
    <row r="47" spans="1:27" x14ac:dyDescent="0.35">
      <c r="A47" t="s">
        <v>18</v>
      </c>
      <c r="B47">
        <v>15</v>
      </c>
      <c r="C47">
        <f t="shared" si="18"/>
        <v>410.7165</v>
      </c>
      <c r="D47">
        <f t="shared" si="19"/>
        <v>580.7165</v>
      </c>
      <c r="E47">
        <f t="shared" si="20"/>
        <v>63.699999999999989</v>
      </c>
      <c r="F47">
        <f t="shared" si="21"/>
        <v>58.100000000000009</v>
      </c>
      <c r="G47">
        <f t="shared" si="22"/>
        <v>329.1</v>
      </c>
      <c r="H47">
        <f t="shared" si="23"/>
        <v>204.1</v>
      </c>
      <c r="I47">
        <f t="shared" si="24"/>
        <v>-0.71649999999999636</v>
      </c>
      <c r="J47">
        <f t="shared" si="25"/>
        <v>-3.1999999999999886</v>
      </c>
      <c r="K47">
        <f t="shared" si="26"/>
        <v>-9.1000000000000227</v>
      </c>
      <c r="L47" t="str">
        <f t="shared" si="27"/>
        <v>TRUE</v>
      </c>
      <c r="M47" t="str">
        <f t="shared" si="28"/>
        <v>False</v>
      </c>
      <c r="N47" t="str">
        <f t="shared" si="29"/>
        <v>TRUE</v>
      </c>
      <c r="P47">
        <f t="shared" si="30"/>
        <v>170</v>
      </c>
      <c r="Q47">
        <f t="shared" si="31"/>
        <v>125.00000000000003</v>
      </c>
      <c r="U47" s="3" t="s">
        <v>18</v>
      </c>
      <c r="V47" s="3">
        <v>19</v>
      </c>
      <c r="W47" s="3" t="b">
        <f t="shared" si="14"/>
        <v>1</v>
      </c>
      <c r="X47" s="3" t="b">
        <f t="shared" si="15"/>
        <v>1</v>
      </c>
      <c r="Y47" s="3"/>
      <c r="Z47" s="3">
        <f t="shared" si="16"/>
        <v>-6.2411764705883055E-3</v>
      </c>
      <c r="AA47" s="3">
        <f t="shared" si="17"/>
        <v>2.4391999999999969E-2</v>
      </c>
    </row>
    <row r="48" spans="1:27" x14ac:dyDescent="0.35">
      <c r="A48" s="3" t="s">
        <v>20</v>
      </c>
      <c r="B48" s="3">
        <v>16</v>
      </c>
      <c r="C48" t="e">
        <f t="shared" si="18"/>
        <v>#VALUE!</v>
      </c>
      <c r="D48" t="e">
        <f t="shared" si="19"/>
        <v>#VALUE!</v>
      </c>
      <c r="E48" t="e">
        <f t="shared" si="20"/>
        <v>#VALUE!</v>
      </c>
      <c r="F48" t="e">
        <f t="shared" si="21"/>
        <v>#VALUE!</v>
      </c>
      <c r="G48" t="e">
        <f t="shared" si="22"/>
        <v>#VALUE!</v>
      </c>
      <c r="H48" t="e">
        <f t="shared" si="23"/>
        <v>#VALUE!</v>
      </c>
      <c r="I48" s="3" t="str">
        <f t="shared" si="24"/>
        <v/>
      </c>
      <c r="J48" s="3" t="str">
        <f t="shared" si="25"/>
        <v/>
      </c>
      <c r="K48" s="3" t="str">
        <f t="shared" si="26"/>
        <v/>
      </c>
      <c r="L48" t="e">
        <f t="shared" si="27"/>
        <v>#VALUE!</v>
      </c>
      <c r="M48" t="e">
        <f t="shared" si="28"/>
        <v>#VALUE!</v>
      </c>
      <c r="N48" t="e">
        <f t="shared" si="29"/>
        <v>#VALUE!</v>
      </c>
      <c r="P48" t="e">
        <f t="shared" si="30"/>
        <v>#VALUE!</v>
      </c>
      <c r="Q48" t="e">
        <f t="shared" si="31"/>
        <v>#VALUE!</v>
      </c>
      <c r="U48" s="3" t="s">
        <v>18</v>
      </c>
      <c r="V48" s="3">
        <v>20</v>
      </c>
      <c r="W48" s="3" t="b">
        <f t="shared" si="14"/>
        <v>1</v>
      </c>
      <c r="X48" s="3" t="b">
        <f t="shared" si="15"/>
        <v>1</v>
      </c>
      <c r="Y48" s="3"/>
      <c r="Z48" s="3">
        <f t="shared" si="16"/>
        <v>-3.9882352941176258E-3</v>
      </c>
      <c r="AA48" s="3">
        <f t="shared" si="17"/>
        <v>2.5887999999999911E-2</v>
      </c>
    </row>
    <row r="49" spans="1:27" x14ac:dyDescent="0.35">
      <c r="A49" s="3" t="s">
        <v>20</v>
      </c>
      <c r="B49" s="3">
        <v>17</v>
      </c>
      <c r="C49" t="e">
        <f t="shared" si="18"/>
        <v>#VALUE!</v>
      </c>
      <c r="D49" t="e">
        <f t="shared" si="19"/>
        <v>#VALUE!</v>
      </c>
      <c r="E49" t="e">
        <f t="shared" si="20"/>
        <v>#VALUE!</v>
      </c>
      <c r="F49" t="e">
        <f t="shared" si="21"/>
        <v>#VALUE!</v>
      </c>
      <c r="G49" t="e">
        <f t="shared" si="22"/>
        <v>#VALUE!</v>
      </c>
      <c r="H49" t="e">
        <f t="shared" si="23"/>
        <v>#VALUE!</v>
      </c>
      <c r="I49" s="3" t="str">
        <f t="shared" si="24"/>
        <v/>
      </c>
      <c r="J49" s="3" t="str">
        <f t="shared" si="25"/>
        <v/>
      </c>
      <c r="K49" s="3" t="str">
        <f t="shared" si="26"/>
        <v/>
      </c>
      <c r="L49" t="e">
        <f t="shared" si="27"/>
        <v>#VALUE!</v>
      </c>
      <c r="M49" t="e">
        <f t="shared" si="28"/>
        <v>#VALUE!</v>
      </c>
      <c r="N49" t="e">
        <f t="shared" si="29"/>
        <v>#VALUE!</v>
      </c>
      <c r="P49" t="e">
        <f t="shared" si="30"/>
        <v>#VALUE!</v>
      </c>
      <c r="Q49" t="e">
        <f t="shared" si="31"/>
        <v>#VALUE!</v>
      </c>
      <c r="U49" t="s">
        <v>17</v>
      </c>
      <c r="V49" t="s">
        <v>28</v>
      </c>
      <c r="W49" t="b">
        <f t="shared" si="14"/>
        <v>1</v>
      </c>
      <c r="X49" t="b">
        <f t="shared" si="15"/>
        <v>1</v>
      </c>
      <c r="Z49">
        <f t="shared" si="16"/>
        <v>2.8278260869565086E-2</v>
      </c>
      <c r="AA49">
        <f t="shared" si="17"/>
        <v>3.606410256410264E-2</v>
      </c>
    </row>
    <row r="50" spans="1:27" x14ac:dyDescent="0.35">
      <c r="A50" s="3" t="s">
        <v>20</v>
      </c>
      <c r="B50" s="3">
        <v>18</v>
      </c>
      <c r="C50" t="e">
        <f t="shared" si="18"/>
        <v>#VALUE!</v>
      </c>
      <c r="D50" t="e">
        <f t="shared" si="19"/>
        <v>#VALUE!</v>
      </c>
      <c r="E50" t="e">
        <f t="shared" si="20"/>
        <v>#VALUE!</v>
      </c>
      <c r="F50" t="e">
        <f t="shared" si="21"/>
        <v>#VALUE!</v>
      </c>
      <c r="G50" t="e">
        <f t="shared" si="22"/>
        <v>#VALUE!</v>
      </c>
      <c r="H50" t="e">
        <f t="shared" si="23"/>
        <v>#VALUE!</v>
      </c>
      <c r="I50" s="3" t="str">
        <f t="shared" si="24"/>
        <v/>
      </c>
      <c r="J50" s="3" t="str">
        <f t="shared" si="25"/>
        <v/>
      </c>
      <c r="K50" s="3" t="str">
        <f t="shared" si="26"/>
        <v/>
      </c>
      <c r="L50" t="e">
        <f t="shared" si="27"/>
        <v>#VALUE!</v>
      </c>
      <c r="M50" t="e">
        <f t="shared" si="28"/>
        <v>#VALUE!</v>
      </c>
      <c r="N50" t="e">
        <f t="shared" si="29"/>
        <v>#VALUE!</v>
      </c>
      <c r="P50" t="e">
        <f t="shared" si="30"/>
        <v>#VALUE!</v>
      </c>
      <c r="Q50" t="e">
        <f t="shared" si="31"/>
        <v>#VALUE!</v>
      </c>
      <c r="U50" t="s">
        <v>17</v>
      </c>
      <c r="V50" t="s">
        <v>29</v>
      </c>
      <c r="W50" t="b">
        <f t="shared" si="14"/>
        <v>1</v>
      </c>
      <c r="X50" t="b">
        <f t="shared" si="15"/>
        <v>1</v>
      </c>
      <c r="Z50">
        <f t="shared" si="16"/>
        <v>1.3930434782608692E-2</v>
      </c>
      <c r="AA50">
        <f t="shared" si="17"/>
        <v>4.7230769230769187E-2</v>
      </c>
    </row>
    <row r="51" spans="1:27" x14ac:dyDescent="0.35">
      <c r="A51" s="3" t="s">
        <v>18</v>
      </c>
      <c r="B51" s="3">
        <v>19</v>
      </c>
      <c r="C51">
        <f t="shared" si="18"/>
        <v>409.4665</v>
      </c>
      <c r="D51">
        <f t="shared" si="19"/>
        <v>579.4665</v>
      </c>
      <c r="E51">
        <f t="shared" si="20"/>
        <v>64.150000000000006</v>
      </c>
      <c r="F51">
        <f t="shared" si="21"/>
        <v>56.949999999999989</v>
      </c>
      <c r="G51">
        <f t="shared" si="22"/>
        <v>328.75</v>
      </c>
      <c r="H51">
        <f t="shared" si="23"/>
        <v>203.75</v>
      </c>
      <c r="I51" s="3">
        <f t="shared" si="24"/>
        <v>0.53350000000000364</v>
      </c>
      <c r="J51" s="3">
        <f t="shared" si="25"/>
        <v>-3.6500000000000057</v>
      </c>
      <c r="K51" s="3">
        <f t="shared" si="26"/>
        <v>-8.75</v>
      </c>
      <c r="L51" t="str">
        <f t="shared" si="27"/>
        <v>TRUE</v>
      </c>
      <c r="M51" t="str">
        <f t="shared" si="28"/>
        <v>False</v>
      </c>
      <c r="N51" t="str">
        <f t="shared" si="29"/>
        <v>TRUE</v>
      </c>
      <c r="P51">
        <f t="shared" si="30"/>
        <v>170</v>
      </c>
      <c r="Q51">
        <f t="shared" si="31"/>
        <v>125</v>
      </c>
      <c r="U51" t="s">
        <v>17</v>
      </c>
      <c r="V51" t="s">
        <v>30</v>
      </c>
      <c r="W51" t="b">
        <f t="shared" si="14"/>
        <v>1</v>
      </c>
      <c r="X51" t="b">
        <f t="shared" si="15"/>
        <v>0</v>
      </c>
      <c r="Z51">
        <f t="shared" si="16"/>
        <v>2.9756521739130459E-2</v>
      </c>
      <c r="AA51">
        <f t="shared" si="17"/>
        <v>6.9089743589743402E-2</v>
      </c>
    </row>
    <row r="52" spans="1:27" x14ac:dyDescent="0.35">
      <c r="A52" s="3" t="s">
        <v>18</v>
      </c>
      <c r="B52" s="3">
        <v>20</v>
      </c>
      <c r="C52">
        <f t="shared" si="18"/>
        <v>410.36649999999997</v>
      </c>
      <c r="D52">
        <f t="shared" si="19"/>
        <v>580.36649999999997</v>
      </c>
      <c r="E52">
        <f t="shared" si="20"/>
        <v>63.250000000000007</v>
      </c>
      <c r="F52">
        <f t="shared" si="21"/>
        <v>59.15</v>
      </c>
      <c r="G52">
        <f t="shared" si="22"/>
        <v>329.05</v>
      </c>
      <c r="H52">
        <f t="shared" si="23"/>
        <v>204.05</v>
      </c>
      <c r="I52" s="3">
        <f t="shared" si="24"/>
        <v>-0.36649999999997362</v>
      </c>
      <c r="J52" s="3">
        <f t="shared" si="25"/>
        <v>-2.7500000000000071</v>
      </c>
      <c r="K52" s="3">
        <f t="shared" si="26"/>
        <v>-9.0500000000000114</v>
      </c>
      <c r="L52" t="str">
        <f t="shared" si="27"/>
        <v>TRUE</v>
      </c>
      <c r="M52" t="str">
        <f t="shared" si="28"/>
        <v>False</v>
      </c>
      <c r="N52" t="str">
        <f t="shared" si="29"/>
        <v>TRUE</v>
      </c>
      <c r="P52">
        <f t="shared" si="30"/>
        <v>170</v>
      </c>
      <c r="Q52">
        <f t="shared" si="31"/>
        <v>125</v>
      </c>
      <c r="W52" t="str">
        <f t="shared" si="14"/>
        <v/>
      </c>
      <c r="X52" t="str">
        <f t="shared" si="15"/>
        <v/>
      </c>
    </row>
    <row r="53" spans="1:27" x14ac:dyDescent="0.35">
      <c r="A53" t="s">
        <v>17</v>
      </c>
      <c r="C53">
        <f t="shared" si="18"/>
        <v>452.4665</v>
      </c>
      <c r="D53">
        <f t="shared" si="19"/>
        <v>567.4665</v>
      </c>
      <c r="E53">
        <f t="shared" si="20"/>
        <v>61.900000000000006</v>
      </c>
      <c r="F53">
        <f t="shared" si="21"/>
        <v>57.599999999999994</v>
      </c>
      <c r="G53">
        <f t="shared" si="22"/>
        <v>178.8</v>
      </c>
      <c r="H53">
        <f t="shared" si="23"/>
        <v>100.8</v>
      </c>
      <c r="I53">
        <f t="shared" ref="I53:I55" si="32">IF($A53="Sblob", C$28-C53,
   IF($A53="Lblob", C$29-C53,
   IF($A53="Rec", C$30-C53,
""
)))</f>
        <v>-2.4664999999999964</v>
      </c>
      <c r="J53">
        <f t="shared" ref="J53:J55" si="33">IF($A53="Sblob", E$28-E53,
   IF($A53="Lblob", E$29-E53,
   IF($A53="Rec", E$30-E53,
""
)))</f>
        <v>-2.4000000000000057</v>
      </c>
      <c r="K53">
        <f t="shared" ref="K53:K55" si="34">IF($A53="Sblob", G$28-G53,
   IF($A53="Lblob", G$29-G53,
   IF($A53="Rec", G$30-G53,
""
)))</f>
        <v>-5.8000000000000114</v>
      </c>
      <c r="L53" t="str">
        <f t="shared" si="27"/>
        <v>TRUE</v>
      </c>
      <c r="M53" t="str">
        <f t="shared" si="28"/>
        <v>False</v>
      </c>
      <c r="N53" t="str">
        <f t="shared" si="29"/>
        <v>TRUE</v>
      </c>
      <c r="P53">
        <f t="shared" si="30"/>
        <v>115</v>
      </c>
      <c r="Q53">
        <f t="shared" si="31"/>
        <v>78.000000000000014</v>
      </c>
      <c r="W53" t="str">
        <f t="shared" si="14"/>
        <v/>
      </c>
      <c r="X53" t="str">
        <f t="shared" si="15"/>
        <v/>
      </c>
    </row>
    <row r="54" spans="1:27" x14ac:dyDescent="0.35">
      <c r="A54" t="s">
        <v>17</v>
      </c>
      <c r="C54">
        <f t="shared" si="18"/>
        <v>452.31650000000002</v>
      </c>
      <c r="D54">
        <f t="shared" si="19"/>
        <v>567.31650000000002</v>
      </c>
      <c r="E54">
        <f t="shared" si="20"/>
        <v>62.599999999999994</v>
      </c>
      <c r="F54">
        <f t="shared" si="21"/>
        <v>58.599999999999994</v>
      </c>
      <c r="G54">
        <f t="shared" si="22"/>
        <v>178.5</v>
      </c>
      <c r="H54">
        <f t="shared" si="23"/>
        <v>100.5</v>
      </c>
      <c r="I54">
        <f t="shared" si="32"/>
        <v>-2.3165000000000191</v>
      </c>
      <c r="J54">
        <f t="shared" si="33"/>
        <v>-3.0999999999999943</v>
      </c>
      <c r="K54">
        <f t="shared" si="34"/>
        <v>-5.5</v>
      </c>
      <c r="L54" t="str">
        <f t="shared" si="27"/>
        <v>TRUE</v>
      </c>
      <c r="M54" t="str">
        <f t="shared" si="28"/>
        <v>False</v>
      </c>
      <c r="N54" t="str">
        <f t="shared" si="29"/>
        <v>TRUE</v>
      </c>
      <c r="P54">
        <f t="shared" si="30"/>
        <v>115</v>
      </c>
      <c r="Q54">
        <f t="shared" si="31"/>
        <v>78</v>
      </c>
      <c r="W54" t="str">
        <f t="shared" ref="W54:W56" si="35">IF(N31="Sblob",
    AND(S31 &gt;= O$23*(1-0.05), S31 &lt;= O$23*(1+0.05)),
IF(N31="Lblob",
    AND(S31 &gt;= O$24*(1-0.05), S31 &lt;= O$24*(1+0.05)),
IF(N31="Rec",
    AND(S31 &gt;= O$25*(1-0.05), S31 &lt;= O$25*(1+0.05)),
""
)))</f>
        <v/>
      </c>
      <c r="X54" t="str">
        <f t="shared" ref="X54:X56" si="36">IF(N31="Sblob",
    AND(T31 &gt;= Q$23*(1-0.05), T31 &lt;= Q$23*(1+0.05)),
IF(N31="Lblob",
    AND(T31 &gt;= Q$24*(1-0.05), T31 &lt;= Q$24*(1+0.05)),
IF(N31="Rec",
    AND(T31 &gt;= Q$25*(1-0.05), T31 &lt;= Q$25*(1+0.05)),
""
)))</f>
        <v/>
      </c>
    </row>
    <row r="55" spans="1:27" x14ac:dyDescent="0.35">
      <c r="A55" t="s">
        <v>17</v>
      </c>
      <c r="C55">
        <f t="shared" si="18"/>
        <v>452.2165</v>
      </c>
      <c r="D55">
        <f t="shared" si="19"/>
        <v>567.2165</v>
      </c>
      <c r="E55">
        <f t="shared" si="20"/>
        <v>61.5</v>
      </c>
      <c r="F55">
        <f t="shared" si="21"/>
        <v>59.7</v>
      </c>
      <c r="G55">
        <f t="shared" si="22"/>
        <v>179.5</v>
      </c>
      <c r="H55">
        <f t="shared" si="23"/>
        <v>101.5</v>
      </c>
      <c r="I55">
        <f t="shared" si="32"/>
        <v>-2.2164999999999964</v>
      </c>
      <c r="J55">
        <f t="shared" si="33"/>
        <v>-2</v>
      </c>
      <c r="K55">
        <f t="shared" si="34"/>
        <v>-6.5</v>
      </c>
      <c r="L55" t="str">
        <f t="shared" si="27"/>
        <v>TRUE</v>
      </c>
      <c r="M55" t="str">
        <f t="shared" si="28"/>
        <v>False</v>
      </c>
      <c r="N55" t="str">
        <f t="shared" si="29"/>
        <v>TRUE</v>
      </c>
      <c r="P55">
        <f t="shared" si="30"/>
        <v>115</v>
      </c>
      <c r="Q55">
        <f t="shared" si="31"/>
        <v>78</v>
      </c>
      <c r="W55" t="str">
        <f t="shared" si="35"/>
        <v/>
      </c>
      <c r="X55" t="str">
        <f t="shared" si="36"/>
        <v/>
      </c>
    </row>
    <row r="56" spans="1:27" x14ac:dyDescent="0.35">
      <c r="I56" cm="1">
        <f t="array" ref="I56">AVERAGE(ABS(I33:I34),ABS(I41),ABS(I45:I47),ABS(I53:I55))</f>
        <v>1.1221666666666705</v>
      </c>
      <c r="J56" cm="1">
        <f t="array" ref="J56">AVERAGE(ABS(J33:J34),ABS(J41),ABS(J45:J47),ABS(J53:J55))</f>
        <v>3.5222222222222195</v>
      </c>
      <c r="K56" cm="1">
        <f t="array" ref="K56">AVERAGE(ABS(K33:K34),ABS(K41),ABS(K45:K47),ABS(K53:K55))</f>
        <v>7.1888888888889007</v>
      </c>
      <c r="L56" t="str">
        <f t="shared" si="27"/>
        <v>TRUE</v>
      </c>
      <c r="M56" t="str">
        <f t="shared" si="28"/>
        <v>False</v>
      </c>
      <c r="N56" t="str">
        <f>IF(ABS(J56)&lt;$L$27,"TRUE","False")</f>
        <v>TRUE</v>
      </c>
      <c r="P56">
        <f t="shared" si="30"/>
        <v>0</v>
      </c>
      <c r="Q56">
        <f t="shared" si="31"/>
        <v>0</v>
      </c>
      <c r="W56" t="str">
        <f t="shared" si="35"/>
        <v/>
      </c>
      <c r="X56" t="str">
        <f t="shared" si="36"/>
        <v/>
      </c>
    </row>
    <row r="59" spans="1:27" x14ac:dyDescent="0.35">
      <c r="A59" t="s">
        <v>18</v>
      </c>
      <c r="B59">
        <v>15</v>
      </c>
      <c r="C59">
        <v>410.16650000000004</v>
      </c>
      <c r="D59">
        <v>581.26649999999995</v>
      </c>
      <c r="E59">
        <v>75.099999999999994</v>
      </c>
      <c r="F59">
        <v>66.7</v>
      </c>
      <c r="G59">
        <v>349.7</v>
      </c>
      <c r="H59">
        <v>227.5</v>
      </c>
      <c r="I59">
        <v>-0.16650000000004184</v>
      </c>
      <c r="J59">
        <v>-14.599999999999994</v>
      </c>
      <c r="K59">
        <v>-29.699999999999989</v>
      </c>
    </row>
    <row r="61" spans="1:27" x14ac:dyDescent="0.35">
      <c r="A61" t="s">
        <v>18</v>
      </c>
      <c r="B61">
        <v>1</v>
      </c>
      <c r="C61" s="5">
        <f>C33</f>
        <v>410.7165</v>
      </c>
      <c r="D61" s="5">
        <f>G33</f>
        <v>329.65000000000003</v>
      </c>
      <c r="E61" s="5">
        <f>E33</f>
        <v>63.65</v>
      </c>
      <c r="F61" s="5">
        <f>I33</f>
        <v>-0.71649999999999636</v>
      </c>
      <c r="G61" s="5">
        <f>K33</f>
        <v>-9.6500000000000341</v>
      </c>
      <c r="H61" s="5">
        <f>J33</f>
        <v>-3.1499999999999986</v>
      </c>
      <c r="I61" s="5" t="str">
        <f>L33</f>
        <v>TRUE</v>
      </c>
      <c r="J61" s="5" t="str">
        <f>M33</f>
        <v>False</v>
      </c>
      <c r="K61" s="5" t="str">
        <f t="shared" ref="K61:K62" si="37">N33</f>
        <v>TRUE</v>
      </c>
      <c r="L61" s="5">
        <f t="shared" ref="I61:L62" si="38">O33</f>
        <v>0</v>
      </c>
    </row>
    <row r="62" spans="1:27" x14ac:dyDescent="0.35">
      <c r="A62" t="s">
        <v>18</v>
      </c>
      <c r="B62">
        <v>2</v>
      </c>
      <c r="C62" s="5">
        <f>C34</f>
        <v>410.9665</v>
      </c>
      <c r="D62" s="5">
        <f>G34</f>
        <v>329.40000000000003</v>
      </c>
      <c r="E62" s="5">
        <f>E34</f>
        <v>63.1</v>
      </c>
      <c r="F62" s="5">
        <f>I34</f>
        <v>-0.96649999999999636</v>
      </c>
      <c r="G62" s="5">
        <f>K34</f>
        <v>-9.4000000000000341</v>
      </c>
      <c r="H62" s="5">
        <f>J34</f>
        <v>-2.6000000000000014</v>
      </c>
      <c r="I62" s="5" t="str">
        <f t="shared" si="38"/>
        <v>TRUE</v>
      </c>
      <c r="J62" s="5" t="str">
        <f t="shared" ref="J62" si="39">M34</f>
        <v>False</v>
      </c>
      <c r="K62" s="5" t="str">
        <f t="shared" si="37"/>
        <v>TRUE</v>
      </c>
      <c r="L62" s="5">
        <f t="shared" si="38"/>
        <v>0</v>
      </c>
    </row>
    <row r="63" spans="1:27" x14ac:dyDescent="0.35">
      <c r="A63" t="s">
        <v>18</v>
      </c>
      <c r="B63">
        <v>15</v>
      </c>
      <c r="C63" s="5">
        <f>C47</f>
        <v>410.7165</v>
      </c>
      <c r="D63" s="5">
        <f>G47</f>
        <v>329.1</v>
      </c>
      <c r="E63" s="5">
        <f>E47</f>
        <v>63.699999999999989</v>
      </c>
      <c r="F63" s="5">
        <f>I47</f>
        <v>-0.71649999999999636</v>
      </c>
      <c r="G63" s="5">
        <f>K47</f>
        <v>-9.1000000000000227</v>
      </c>
      <c r="H63" s="5">
        <f>J47</f>
        <v>-3.1999999999999886</v>
      </c>
      <c r="I63" s="5" t="str">
        <f>L47</f>
        <v>TRUE</v>
      </c>
      <c r="J63" s="5" t="str">
        <f>M47</f>
        <v>False</v>
      </c>
      <c r="K63" s="5" t="str">
        <f>N47</f>
        <v>TRUE</v>
      </c>
      <c r="L63" s="5">
        <f>O47</f>
        <v>0</v>
      </c>
    </row>
    <row r="64" spans="1:27" x14ac:dyDescent="0.35">
      <c r="A64" t="s">
        <v>19</v>
      </c>
      <c r="B64">
        <v>9</v>
      </c>
      <c r="C64" s="5">
        <f>C41</f>
        <v>284.9665</v>
      </c>
      <c r="D64" s="5">
        <f>G41</f>
        <v>252.75</v>
      </c>
      <c r="E64" s="5">
        <f>E41</f>
        <v>65.55</v>
      </c>
      <c r="F64" s="5">
        <f>I41</f>
        <v>3.3500000000003638E-2</v>
      </c>
      <c r="G64" s="5">
        <f>K41</f>
        <v>-6.75</v>
      </c>
      <c r="H64" s="5">
        <f>J41</f>
        <v>-5.5499999999999972</v>
      </c>
      <c r="I64" s="5" t="str">
        <f>L41</f>
        <v>TRUE</v>
      </c>
      <c r="J64" s="5" t="str">
        <f>M41</f>
        <v>False</v>
      </c>
      <c r="K64" s="5" t="str">
        <f>N41</f>
        <v>False</v>
      </c>
      <c r="L64" s="5">
        <f>O41</f>
        <v>0</v>
      </c>
    </row>
    <row r="65" spans="1:12" x14ac:dyDescent="0.35">
      <c r="A65" t="s">
        <v>19</v>
      </c>
      <c r="B65">
        <v>13</v>
      </c>
      <c r="C65" s="5">
        <f>C45</f>
        <v>284.66649999999998</v>
      </c>
      <c r="D65" s="5">
        <f>G45</f>
        <v>251.85</v>
      </c>
      <c r="E65" s="5">
        <f>E45</f>
        <v>64.75</v>
      </c>
      <c r="F65" s="5">
        <f>I45</f>
        <v>0.33350000000001501</v>
      </c>
      <c r="G65" s="5">
        <f>K45</f>
        <v>-5.8499999999999943</v>
      </c>
      <c r="H65" s="5">
        <f>J45</f>
        <v>-4.75</v>
      </c>
      <c r="I65" s="5" t="str">
        <f t="shared" ref="I65:L66" si="40">L45</f>
        <v>TRUE</v>
      </c>
      <c r="J65" s="5" t="str">
        <f t="shared" ref="J65:J66" si="41">M45</f>
        <v>False</v>
      </c>
      <c r="K65" s="5" t="str">
        <f t="shared" ref="K65:K66" si="42">N45</f>
        <v>TRUE</v>
      </c>
      <c r="L65" s="5">
        <f t="shared" si="40"/>
        <v>0</v>
      </c>
    </row>
    <row r="66" spans="1:12" x14ac:dyDescent="0.35">
      <c r="A66" t="s">
        <v>19</v>
      </c>
      <c r="B66">
        <v>14</v>
      </c>
      <c r="C66" s="5">
        <f>C46</f>
        <v>284.66649999999998</v>
      </c>
      <c r="D66" s="5">
        <f>G46</f>
        <v>252.15</v>
      </c>
      <c r="E66" s="5">
        <f>E46</f>
        <v>64.949999999999989</v>
      </c>
      <c r="F66" s="5">
        <f>I46</f>
        <v>0.33350000000001501</v>
      </c>
      <c r="G66" s="5">
        <f>K46</f>
        <v>-6.1500000000000057</v>
      </c>
      <c r="H66" s="5">
        <f>J46</f>
        <v>-4.9499999999999886</v>
      </c>
      <c r="I66" s="5" t="str">
        <f t="shared" si="40"/>
        <v>TRUE</v>
      </c>
      <c r="J66" s="5" t="str">
        <f t="shared" si="41"/>
        <v>False</v>
      </c>
      <c r="K66" s="5" t="str">
        <f t="shared" si="42"/>
        <v>TRUE</v>
      </c>
      <c r="L66" s="5">
        <f t="shared" si="40"/>
        <v>0</v>
      </c>
    </row>
    <row r="67" spans="1:12" x14ac:dyDescent="0.35">
      <c r="A67" t="s">
        <v>17</v>
      </c>
      <c r="C67" s="5">
        <f>C35</f>
        <v>452.31649999999996</v>
      </c>
      <c r="D67" s="5">
        <f>G53</f>
        <v>178.8</v>
      </c>
      <c r="E67" s="5">
        <f>E53</f>
        <v>61.900000000000006</v>
      </c>
      <c r="F67" s="5">
        <f>I53</f>
        <v>-2.4664999999999964</v>
      </c>
      <c r="G67" s="5">
        <f>K53</f>
        <v>-5.8000000000000114</v>
      </c>
      <c r="H67" s="5">
        <f>J53</f>
        <v>-2.4000000000000057</v>
      </c>
      <c r="I67" s="5" t="str">
        <f>L53</f>
        <v>TRUE</v>
      </c>
      <c r="J67" s="5" t="str">
        <f>M53</f>
        <v>False</v>
      </c>
      <c r="K67" s="5" t="str">
        <f>N53</f>
        <v>TRUE</v>
      </c>
      <c r="L67" s="5">
        <f>O53</f>
        <v>0</v>
      </c>
    </row>
    <row r="68" spans="1:12" x14ac:dyDescent="0.35">
      <c r="A68" t="s">
        <v>17</v>
      </c>
      <c r="C68" s="5">
        <f>C36</f>
        <v>458.56649999999996</v>
      </c>
      <c r="D68" s="5">
        <f>G54</f>
        <v>178.5</v>
      </c>
      <c r="E68" s="5">
        <f>E54</f>
        <v>62.599999999999994</v>
      </c>
      <c r="F68" s="5">
        <f t="shared" ref="F68:F69" si="43">I54</f>
        <v>-2.3165000000000191</v>
      </c>
      <c r="G68" s="5">
        <f t="shared" ref="G68:G69" si="44">K54</f>
        <v>-5.5</v>
      </c>
      <c r="H68" s="5">
        <f t="shared" ref="H68:H69" si="45">J54</f>
        <v>-3.0999999999999943</v>
      </c>
      <c r="I68" s="5" t="str">
        <f t="shared" ref="I68:L68" si="46">L54</f>
        <v>TRUE</v>
      </c>
      <c r="J68" s="5" t="str">
        <f t="shared" ref="J68:J69" si="47">M54</f>
        <v>False</v>
      </c>
      <c r="K68" s="5" t="str">
        <f t="shared" ref="K68:K69" si="48">N54</f>
        <v>TRUE</v>
      </c>
      <c r="L68" s="5">
        <f t="shared" si="46"/>
        <v>0</v>
      </c>
    </row>
    <row r="69" spans="1:12" x14ac:dyDescent="0.35">
      <c r="A69" t="s">
        <v>17</v>
      </c>
      <c r="C69" s="5">
        <f>C37</f>
        <v>460.16649999999998</v>
      </c>
      <c r="D69" s="5">
        <f>G55</f>
        <v>179.5</v>
      </c>
      <c r="E69" s="5">
        <f>E55</f>
        <v>61.5</v>
      </c>
      <c r="F69" s="5">
        <f t="shared" si="43"/>
        <v>-2.2164999999999964</v>
      </c>
      <c r="G69" s="5">
        <f t="shared" si="44"/>
        <v>-6.5</v>
      </c>
      <c r="H69" s="5">
        <f t="shared" si="45"/>
        <v>-2</v>
      </c>
      <c r="I69" s="5" t="str">
        <f t="shared" ref="I69:L69" si="49">L55</f>
        <v>TRUE</v>
      </c>
      <c r="J69" s="5" t="str">
        <f t="shared" si="47"/>
        <v>False</v>
      </c>
      <c r="K69" s="5" t="str">
        <f t="shared" si="48"/>
        <v>TRUE</v>
      </c>
      <c r="L69" s="5">
        <f t="shared" si="49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Søby Hansen</dc:creator>
  <cp:lastModifiedBy>Jens Søby Hansen</cp:lastModifiedBy>
  <dcterms:created xsi:type="dcterms:W3CDTF">2025-12-12T14:17:16Z</dcterms:created>
  <dcterms:modified xsi:type="dcterms:W3CDTF">2025-12-18T10:51:04Z</dcterms:modified>
</cp:coreProperties>
</file>