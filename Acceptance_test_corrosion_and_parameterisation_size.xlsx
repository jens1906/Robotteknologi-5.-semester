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ns1\Documents\GitHub\Robotteknologi-5.-semester\"/>
    </mc:Choice>
  </mc:AlternateContent>
  <xr:revisionPtr revIDLastSave="0" documentId="13_ncr:1_{6279824D-607F-40FB-BD66-B68044EE359D}" xr6:coauthVersionLast="47" xr6:coauthVersionMax="47" xr10:uidLastSave="{00000000-0000-0000-0000-000000000000}"/>
  <bookViews>
    <workbookView xWindow="-120" yWindow="-120" windowWidth="29040" windowHeight="15720" xr2:uid="{634B6407-AD3C-4DC4-BF9C-C1397938D9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" i="1"/>
  <c r="O3" i="1"/>
  <c r="P3" i="1"/>
  <c r="Q3" i="1"/>
  <c r="S3" i="1"/>
  <c r="T3" i="1"/>
  <c r="O4" i="1"/>
  <c r="P4" i="1"/>
  <c r="Q4" i="1"/>
  <c r="S4" i="1"/>
  <c r="T4" i="1"/>
  <c r="O5" i="1"/>
  <c r="P5" i="1"/>
  <c r="Q5" i="1"/>
  <c r="S5" i="1"/>
  <c r="T5" i="1"/>
  <c r="O6" i="1"/>
  <c r="P6" i="1"/>
  <c r="Q6" i="1"/>
  <c r="S6" i="1"/>
  <c r="T6" i="1"/>
  <c r="O7" i="1"/>
  <c r="P7" i="1"/>
  <c r="Q7" i="1"/>
  <c r="S7" i="1"/>
  <c r="T7" i="1"/>
  <c r="O8" i="1"/>
  <c r="P8" i="1"/>
  <c r="Q8" i="1"/>
  <c r="S8" i="1"/>
  <c r="T8" i="1"/>
  <c r="O9" i="1"/>
  <c r="P9" i="1"/>
  <c r="Q9" i="1"/>
  <c r="S9" i="1"/>
  <c r="T9" i="1"/>
  <c r="O10" i="1"/>
  <c r="P10" i="1"/>
  <c r="Q10" i="1"/>
  <c r="S10" i="1"/>
  <c r="T10" i="1"/>
  <c r="O11" i="1"/>
  <c r="P11" i="1"/>
  <c r="Q11" i="1"/>
  <c r="S11" i="1"/>
  <c r="T11" i="1"/>
  <c r="O12" i="1"/>
  <c r="P12" i="1"/>
  <c r="Q12" i="1"/>
  <c r="S12" i="1"/>
  <c r="T12" i="1"/>
  <c r="O13" i="1"/>
  <c r="P13" i="1"/>
  <c r="Q13" i="1"/>
  <c r="S13" i="1"/>
  <c r="T13" i="1"/>
  <c r="O14" i="1"/>
  <c r="P14" i="1"/>
  <c r="Q14" i="1"/>
  <c r="S14" i="1"/>
  <c r="T14" i="1"/>
  <c r="O15" i="1"/>
  <c r="P15" i="1"/>
  <c r="Q15" i="1"/>
  <c r="S15" i="1"/>
  <c r="T15" i="1"/>
  <c r="O16" i="1"/>
  <c r="P16" i="1"/>
  <c r="Q16" i="1"/>
  <c r="S16" i="1"/>
  <c r="T16" i="1"/>
  <c r="O17" i="1"/>
  <c r="P17" i="1"/>
  <c r="Q17" i="1"/>
  <c r="S17" i="1"/>
  <c r="T17" i="1"/>
  <c r="O18" i="1"/>
  <c r="P18" i="1"/>
  <c r="Q18" i="1"/>
  <c r="S18" i="1"/>
  <c r="T18" i="1"/>
  <c r="O19" i="1"/>
  <c r="P19" i="1"/>
  <c r="Q19" i="1"/>
  <c r="S19" i="1"/>
  <c r="T19" i="1"/>
  <c r="O20" i="1"/>
  <c r="P20" i="1"/>
  <c r="Q20" i="1"/>
  <c r="S20" i="1"/>
  <c r="T20" i="1"/>
  <c r="O21" i="1"/>
  <c r="P21" i="1"/>
  <c r="Q21" i="1"/>
  <c r="S21" i="1"/>
  <c r="T21" i="1"/>
  <c r="T2" i="1"/>
  <c r="S2" i="1"/>
  <c r="Q2" i="1"/>
  <c r="P2" i="1"/>
  <c r="O2" i="1"/>
</calcChain>
</file>

<file path=xl/sharedStrings.xml><?xml version="1.0" encoding="utf-8"?>
<sst xmlns="http://schemas.openxmlformats.org/spreadsheetml/2006/main" count="44" uniqueCount="23">
  <si>
    <t>Test NR</t>
  </si>
  <si>
    <t>X_min</t>
  </si>
  <si>
    <t>X_max</t>
  </si>
  <si>
    <t>Y_min</t>
  </si>
  <si>
    <t>Y_max</t>
  </si>
  <si>
    <t>Z_min</t>
  </si>
  <si>
    <t>Z_max</t>
  </si>
  <si>
    <t>U_min</t>
  </si>
  <si>
    <t>U_max</t>
  </si>
  <si>
    <t>V_min</t>
  </si>
  <si>
    <t>V_max</t>
  </si>
  <si>
    <t>X</t>
  </si>
  <si>
    <t>Y</t>
  </si>
  <si>
    <t>Z</t>
  </si>
  <si>
    <t>U</t>
  </si>
  <si>
    <t>V</t>
  </si>
  <si>
    <t>Type</t>
  </si>
  <si>
    <t>Lblob</t>
  </si>
  <si>
    <t>SBlob</t>
  </si>
  <si>
    <t>Rec</t>
  </si>
  <si>
    <t>-</t>
  </si>
  <si>
    <t>LRec</t>
  </si>
  <si>
    <t>CorCheck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</si>
</sst>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6F927-AB27-401A-990D-9D8E7271204D}">
  <dimension ref="A1:V26"/>
  <sheetViews>
    <sheetView tabSelected="1" workbookViewId="0">
      <selection activeCell="V25" sqref="V25"/>
    </sheetView>
  </sheetViews>
  <sheetFormatPr defaultRowHeight="15" x14ac:dyDescent="0.25"/>
  <sheetData>
    <row r="1" spans="1:22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/>
      <c r="I1" s="1" t="s">
        <v>7</v>
      </c>
      <c r="J1" s="1" t="s">
        <v>8</v>
      </c>
      <c r="K1" s="1" t="s">
        <v>9</v>
      </c>
      <c r="L1" s="1" t="s">
        <v>10</v>
      </c>
      <c r="M1" s="1"/>
      <c r="N1" s="1" t="s">
        <v>16</v>
      </c>
      <c r="O1" s="1" t="s">
        <v>11</v>
      </c>
      <c r="P1" s="1" t="s">
        <v>12</v>
      </c>
      <c r="Q1" s="1" t="s">
        <v>13</v>
      </c>
      <c r="R1" s="1"/>
      <c r="S1" s="1" t="s">
        <v>14</v>
      </c>
      <c r="T1" s="1" t="s">
        <v>15</v>
      </c>
      <c r="V1" s="1" t="s">
        <v>22</v>
      </c>
    </row>
    <row r="2" spans="1:22" x14ac:dyDescent="0.25">
      <c r="A2">
        <v>1</v>
      </c>
      <c r="B2">
        <v>212.2</v>
      </c>
      <c r="C2">
        <v>383.5</v>
      </c>
      <c r="D2">
        <v>-100.7</v>
      </c>
      <c r="E2">
        <v>-90.3</v>
      </c>
      <c r="F2">
        <v>-213.6</v>
      </c>
      <c r="G2">
        <v>-92.7</v>
      </c>
      <c r="I2">
        <v>58.889000000000003</v>
      </c>
      <c r="J2">
        <v>228.60900000000001</v>
      </c>
      <c r="K2">
        <v>58.338999999999999</v>
      </c>
      <c r="L2">
        <v>180.09700000000001</v>
      </c>
      <c r="N2" t="s">
        <v>18</v>
      </c>
      <c r="O2">
        <f>C2-B2</f>
        <v>171.3</v>
      </c>
      <c r="P2">
        <f>E2-D2</f>
        <v>10.400000000000006</v>
      </c>
      <c r="Q2">
        <f>G2-F2</f>
        <v>120.89999999999999</v>
      </c>
      <c r="S2">
        <f>J2-I2</f>
        <v>169.72</v>
      </c>
      <c r="T2">
        <f>L2-K2</f>
        <v>121.75800000000001</v>
      </c>
      <c r="V2" t="str">
        <f>IF(N2="Sblob",
     IF(AND(O$23 - O$23*0.05 &gt; 0, Q$23 - Q$23*0.05 &gt; 0),"Y","X"),
     IF(N2="Lblob",
         IF(AND(O$24 - O$24*0.05 &gt; 0, Q$24 - Q$24*0.05 &gt; 0),"Y","X"),
         IF(N2="Rec",
             IF(AND(O$25 - O$25*0.05 &gt; 0, Q$25 - Q$25*0.05 &gt; 0),"Y","X"),
         )
     )
)</f>
        <v>Y</v>
      </c>
    </row>
    <row r="3" spans="1:22" x14ac:dyDescent="0.25">
      <c r="A3">
        <v>2</v>
      </c>
      <c r="B3">
        <v>212.7</v>
      </c>
      <c r="C3">
        <v>383.5</v>
      </c>
      <c r="D3">
        <v>-99.9</v>
      </c>
      <c r="E3">
        <v>-92.3</v>
      </c>
      <c r="F3">
        <v>-213.6</v>
      </c>
      <c r="G3">
        <v>-92.2</v>
      </c>
      <c r="I3">
        <v>58.256</v>
      </c>
      <c r="J3">
        <v>228.83699999999999</v>
      </c>
      <c r="K3">
        <v>57.951999999999998</v>
      </c>
      <c r="L3">
        <v>179.64099999999999</v>
      </c>
      <c r="N3" t="s">
        <v>18</v>
      </c>
      <c r="O3">
        <f t="shared" ref="O3:O21" si="0">C3-B3</f>
        <v>170.8</v>
      </c>
      <c r="P3">
        <f t="shared" ref="P3:P21" si="1">E3-D3</f>
        <v>7.6000000000000085</v>
      </c>
      <c r="Q3">
        <f t="shared" ref="Q3:Q21" si="2">G3-F3</f>
        <v>121.39999999999999</v>
      </c>
      <c r="S3">
        <f t="shared" ref="S3:S21" si="3">J3-I3</f>
        <v>170.58099999999999</v>
      </c>
      <c r="T3">
        <f t="shared" ref="T3:T21" si="4">L3-K3</f>
        <v>121.68899999999999</v>
      </c>
      <c r="V3" t="str">
        <f t="shared" ref="V3:V21" si="5">IF(N3="Sblob",
     IF(AND(O$23 - O$23*0.05 &gt; 0, Q$23 - Q$23*0.05 &gt; 0),"Y","X"),
     IF(N3="Lblob",
         IF(AND(O$24 - O$24*0.05 &gt; 0, Q$24 - Q$24*0.05 &gt; 0),"Y","X"),
         IF(N3="Rec",
             IF(AND(O$25 - O$25*0.05 &gt; 0, Q$25 - Q$25*0.05 &gt; 0),"Y","X"),
         )
     )
)</f>
        <v>Y</v>
      </c>
    </row>
    <row r="4" spans="1:22" x14ac:dyDescent="0.25">
      <c r="A4">
        <v>3</v>
      </c>
      <c r="B4">
        <v>249.5</v>
      </c>
      <c r="C4">
        <v>374.4</v>
      </c>
      <c r="D4">
        <v>-99.4</v>
      </c>
      <c r="E4">
        <v>-90.4</v>
      </c>
      <c r="F4">
        <v>-62.8</v>
      </c>
      <c r="G4">
        <v>10.7</v>
      </c>
      <c r="I4">
        <v>62.49</v>
      </c>
      <c r="J4">
        <v>188.58600000000001</v>
      </c>
      <c r="K4">
        <v>59.487000000000002</v>
      </c>
      <c r="L4">
        <v>131.78399999999999</v>
      </c>
      <c r="N4" t="s">
        <v>17</v>
      </c>
      <c r="O4">
        <f t="shared" si="0"/>
        <v>124.89999999999998</v>
      </c>
      <c r="P4">
        <f t="shared" si="1"/>
        <v>9</v>
      </c>
      <c r="Q4">
        <f t="shared" si="2"/>
        <v>73.5</v>
      </c>
      <c r="S4">
        <f t="shared" si="3"/>
        <v>126.096</v>
      </c>
      <c r="T4">
        <f t="shared" si="4"/>
        <v>72.296999999999997</v>
      </c>
      <c r="V4" t="str">
        <f t="shared" si="5"/>
        <v>Y</v>
      </c>
    </row>
    <row r="5" spans="1:22" x14ac:dyDescent="0.25">
      <c r="A5">
        <v>4</v>
      </c>
      <c r="B5">
        <v>257</v>
      </c>
      <c r="C5">
        <v>379.4</v>
      </c>
      <c r="D5">
        <v>-99.4</v>
      </c>
      <c r="E5">
        <v>-90.6</v>
      </c>
      <c r="F5">
        <v>-66.2</v>
      </c>
      <c r="G5">
        <v>10.199999999999999</v>
      </c>
      <c r="I5">
        <v>63.008000000000003</v>
      </c>
      <c r="J5">
        <v>187.22499999999999</v>
      </c>
      <c r="K5">
        <v>58.801000000000002</v>
      </c>
      <c r="L5">
        <v>131.642</v>
      </c>
      <c r="N5" t="s">
        <v>17</v>
      </c>
      <c r="O5">
        <f t="shared" si="0"/>
        <v>122.39999999999998</v>
      </c>
      <c r="P5">
        <f t="shared" si="1"/>
        <v>8.8000000000000114</v>
      </c>
      <c r="Q5">
        <f t="shared" si="2"/>
        <v>76.400000000000006</v>
      </c>
      <c r="S5">
        <f t="shared" si="3"/>
        <v>124.21699999999998</v>
      </c>
      <c r="T5">
        <f t="shared" si="4"/>
        <v>72.840999999999994</v>
      </c>
      <c r="V5" t="str">
        <f t="shared" si="5"/>
        <v>Y</v>
      </c>
    </row>
    <row r="6" spans="1:22" x14ac:dyDescent="0.25">
      <c r="A6">
        <v>5</v>
      </c>
      <c r="B6">
        <v>257.5</v>
      </c>
      <c r="C6">
        <v>382.1</v>
      </c>
      <c r="D6">
        <v>-99</v>
      </c>
      <c r="E6">
        <v>-90.4</v>
      </c>
      <c r="F6">
        <v>-75.7</v>
      </c>
      <c r="G6">
        <v>9.8000000000000007</v>
      </c>
      <c r="I6">
        <v>62.932000000000002</v>
      </c>
      <c r="J6">
        <v>188.536</v>
      </c>
      <c r="K6">
        <v>59.402000000000001</v>
      </c>
      <c r="L6">
        <v>141.31899999999999</v>
      </c>
      <c r="N6" t="s">
        <v>17</v>
      </c>
      <c r="O6">
        <f t="shared" si="0"/>
        <v>124.60000000000002</v>
      </c>
      <c r="P6">
        <f t="shared" si="1"/>
        <v>8.5999999999999943</v>
      </c>
      <c r="Q6">
        <f t="shared" si="2"/>
        <v>85.5</v>
      </c>
      <c r="S6">
        <f t="shared" si="3"/>
        <v>125.604</v>
      </c>
      <c r="T6">
        <f t="shared" si="4"/>
        <v>81.916999999999987</v>
      </c>
      <c r="V6" t="str">
        <f t="shared" si="5"/>
        <v>Y</v>
      </c>
    </row>
    <row r="7" spans="1:22" x14ac:dyDescent="0.25">
      <c r="A7">
        <v>6</v>
      </c>
      <c r="B7">
        <v>257.5</v>
      </c>
      <c r="C7">
        <v>387.1</v>
      </c>
      <c r="D7">
        <v>-99.1</v>
      </c>
      <c r="E7">
        <v>-91.3</v>
      </c>
      <c r="F7">
        <v>-68.3</v>
      </c>
      <c r="G7">
        <v>10.1</v>
      </c>
      <c r="I7">
        <v>62.758000000000003</v>
      </c>
      <c r="J7">
        <v>192.90299999999999</v>
      </c>
      <c r="K7">
        <v>59.091000000000001</v>
      </c>
      <c r="L7">
        <v>136.786</v>
      </c>
      <c r="N7" t="s">
        <v>17</v>
      </c>
      <c r="O7">
        <f t="shared" si="0"/>
        <v>129.60000000000002</v>
      </c>
      <c r="P7">
        <f t="shared" si="1"/>
        <v>7.7999999999999972</v>
      </c>
      <c r="Q7">
        <f t="shared" si="2"/>
        <v>78.399999999999991</v>
      </c>
      <c r="S7">
        <f t="shared" si="3"/>
        <v>130.14499999999998</v>
      </c>
      <c r="T7">
        <f t="shared" si="4"/>
        <v>77.694999999999993</v>
      </c>
      <c r="V7" t="str">
        <f t="shared" si="5"/>
        <v>Y</v>
      </c>
    </row>
    <row r="8" spans="1:22" x14ac:dyDescent="0.25">
      <c r="A8">
        <v>7</v>
      </c>
      <c r="B8">
        <v>231.8</v>
      </c>
      <c r="C8">
        <v>380</v>
      </c>
      <c r="D8">
        <v>-100.5</v>
      </c>
      <c r="E8">
        <v>-90.1</v>
      </c>
      <c r="F8">
        <v>-87</v>
      </c>
      <c r="G8">
        <v>10.5</v>
      </c>
      <c r="I8">
        <v>61.5</v>
      </c>
      <c r="J8">
        <v>217.55199999999999</v>
      </c>
      <c r="K8">
        <v>59.65</v>
      </c>
      <c r="L8">
        <v>150.232</v>
      </c>
      <c r="N8" t="s">
        <v>17</v>
      </c>
      <c r="O8">
        <f t="shared" si="0"/>
        <v>148.19999999999999</v>
      </c>
      <c r="P8">
        <f t="shared" si="1"/>
        <v>10.400000000000006</v>
      </c>
      <c r="Q8">
        <f t="shared" si="2"/>
        <v>97.5</v>
      </c>
      <c r="S8">
        <f t="shared" si="3"/>
        <v>156.05199999999999</v>
      </c>
      <c r="T8">
        <f t="shared" si="4"/>
        <v>90.581999999999994</v>
      </c>
      <c r="V8" t="str">
        <f t="shared" si="5"/>
        <v>Y</v>
      </c>
    </row>
    <row r="9" spans="1:22" x14ac:dyDescent="0.25">
      <c r="A9">
        <v>8</v>
      </c>
      <c r="B9">
        <v>246.1</v>
      </c>
      <c r="C9">
        <v>387.1</v>
      </c>
      <c r="D9">
        <v>-99.2</v>
      </c>
      <c r="E9">
        <v>-91.9</v>
      </c>
      <c r="F9">
        <v>-75.2</v>
      </c>
      <c r="G9">
        <v>19.3</v>
      </c>
      <c r="I9">
        <v>63.619</v>
      </c>
      <c r="J9">
        <v>204.88300000000001</v>
      </c>
      <c r="K9">
        <v>58.65</v>
      </c>
      <c r="L9">
        <v>151.89599999999999</v>
      </c>
      <c r="N9" t="s">
        <v>17</v>
      </c>
      <c r="O9">
        <f t="shared" si="0"/>
        <v>141.00000000000003</v>
      </c>
      <c r="P9">
        <f t="shared" si="1"/>
        <v>7.2999999999999972</v>
      </c>
      <c r="Q9">
        <f t="shared" si="2"/>
        <v>94.5</v>
      </c>
      <c r="S9">
        <f t="shared" si="3"/>
        <v>141.26400000000001</v>
      </c>
      <c r="T9">
        <f t="shared" si="4"/>
        <v>93.245999999999981</v>
      </c>
      <c r="V9" t="str">
        <f t="shared" si="5"/>
        <v>Y</v>
      </c>
    </row>
    <row r="10" spans="1:22" x14ac:dyDescent="0.25">
      <c r="A10">
        <v>9</v>
      </c>
      <c r="B10">
        <v>86.5</v>
      </c>
      <c r="C10">
        <v>161.69999999999999</v>
      </c>
      <c r="D10">
        <v>-99.8</v>
      </c>
      <c r="E10">
        <v>-95.9</v>
      </c>
      <c r="F10">
        <v>-139.5</v>
      </c>
      <c r="G10">
        <v>23</v>
      </c>
      <c r="I10">
        <v>57.828000000000003</v>
      </c>
      <c r="J10">
        <v>223.72499999999999</v>
      </c>
      <c r="K10">
        <v>57.591999999999999</v>
      </c>
      <c r="L10">
        <v>137.85499999999999</v>
      </c>
      <c r="N10" t="s">
        <v>19</v>
      </c>
      <c r="O10">
        <f t="shared" si="0"/>
        <v>75.199999999999989</v>
      </c>
      <c r="P10">
        <f t="shared" si="1"/>
        <v>3.8999999999999915</v>
      </c>
      <c r="Q10">
        <f t="shared" si="2"/>
        <v>162.5</v>
      </c>
      <c r="S10">
        <f t="shared" si="3"/>
        <v>165.89699999999999</v>
      </c>
      <c r="T10">
        <f t="shared" si="4"/>
        <v>80.262999999999991</v>
      </c>
      <c r="V10" t="str">
        <f t="shared" si="5"/>
        <v>Y</v>
      </c>
    </row>
    <row r="11" spans="1:22" x14ac:dyDescent="0.25">
      <c r="A11">
        <v>10</v>
      </c>
      <c r="B11">
        <v>85.7</v>
      </c>
      <c r="C11">
        <v>161.19999999999999</v>
      </c>
      <c r="D11">
        <v>-99.3</v>
      </c>
      <c r="E11">
        <v>-94.6</v>
      </c>
      <c r="F11">
        <v>-139.5</v>
      </c>
      <c r="G11">
        <v>-13.5</v>
      </c>
      <c r="I11">
        <v>59.027999999999999</v>
      </c>
      <c r="J11">
        <v>188.89400000000001</v>
      </c>
      <c r="K11">
        <v>58.817999999999998</v>
      </c>
      <c r="L11">
        <v>142.77099999999999</v>
      </c>
      <c r="N11" t="s">
        <v>21</v>
      </c>
      <c r="O11">
        <f t="shared" si="0"/>
        <v>75.499999999999986</v>
      </c>
      <c r="P11">
        <f t="shared" si="1"/>
        <v>4.7000000000000028</v>
      </c>
      <c r="Q11">
        <f t="shared" si="2"/>
        <v>126</v>
      </c>
      <c r="S11">
        <f t="shared" si="3"/>
        <v>129.86600000000001</v>
      </c>
      <c r="T11">
        <f t="shared" si="4"/>
        <v>83.952999999999989</v>
      </c>
      <c r="V11">
        <f t="shared" si="5"/>
        <v>0</v>
      </c>
    </row>
    <row r="12" spans="1:22" x14ac:dyDescent="0.25">
      <c r="A12">
        <v>11</v>
      </c>
      <c r="B12">
        <v>85.7</v>
      </c>
      <c r="C12">
        <v>161.1</v>
      </c>
      <c r="D12">
        <v>-99</v>
      </c>
      <c r="E12">
        <v>-95.5</v>
      </c>
      <c r="F12">
        <v>-139.4</v>
      </c>
      <c r="G12">
        <v>-24</v>
      </c>
      <c r="I12">
        <v>59.106000000000002</v>
      </c>
      <c r="J12">
        <v>175.53100000000001</v>
      </c>
      <c r="K12">
        <v>58.820999999999998</v>
      </c>
      <c r="L12">
        <v>139.89400000000001</v>
      </c>
      <c r="N12" t="s">
        <v>21</v>
      </c>
      <c r="O12">
        <f t="shared" si="0"/>
        <v>75.399999999999991</v>
      </c>
      <c r="P12">
        <f t="shared" si="1"/>
        <v>3.5</v>
      </c>
      <c r="Q12">
        <f t="shared" si="2"/>
        <v>115.4</v>
      </c>
      <c r="S12">
        <f t="shared" si="3"/>
        <v>116.42500000000001</v>
      </c>
      <c r="T12">
        <f t="shared" si="4"/>
        <v>81.073000000000008</v>
      </c>
      <c r="V12">
        <f t="shared" si="5"/>
        <v>0</v>
      </c>
    </row>
    <row r="13" spans="1:22" x14ac:dyDescent="0.25">
      <c r="A13">
        <v>12</v>
      </c>
      <c r="B13">
        <v>86.3</v>
      </c>
      <c r="C13">
        <v>161.30000000000001</v>
      </c>
      <c r="D13">
        <v>-98.6</v>
      </c>
      <c r="E13">
        <v>-94.9</v>
      </c>
      <c r="F13">
        <v>-139</v>
      </c>
      <c r="G13">
        <v>-26</v>
      </c>
      <c r="I13">
        <v>58.655000000000001</v>
      </c>
      <c r="J13">
        <v>177.50899999999999</v>
      </c>
      <c r="K13">
        <v>58.7</v>
      </c>
      <c r="L13">
        <v>142</v>
      </c>
      <c r="N13" t="s">
        <v>21</v>
      </c>
      <c r="O13">
        <f t="shared" si="0"/>
        <v>75.000000000000014</v>
      </c>
      <c r="P13">
        <f t="shared" si="1"/>
        <v>3.6999999999999886</v>
      </c>
      <c r="Q13">
        <f t="shared" si="2"/>
        <v>113</v>
      </c>
      <c r="S13">
        <f t="shared" si="3"/>
        <v>118.85399999999998</v>
      </c>
      <c r="T13">
        <f t="shared" si="4"/>
        <v>83.3</v>
      </c>
      <c r="V13">
        <f t="shared" si="5"/>
        <v>0</v>
      </c>
    </row>
    <row r="14" spans="1:22" x14ac:dyDescent="0.25">
      <c r="A14">
        <v>13</v>
      </c>
      <c r="B14">
        <v>86.3</v>
      </c>
      <c r="C14">
        <v>161.30000000000001</v>
      </c>
      <c r="D14">
        <v>-99.1</v>
      </c>
      <c r="E14">
        <v>-94.9</v>
      </c>
      <c r="F14">
        <v>-138.5</v>
      </c>
      <c r="G14">
        <v>23.8</v>
      </c>
      <c r="I14">
        <v>57.843000000000004</v>
      </c>
      <c r="J14">
        <v>223.285</v>
      </c>
      <c r="K14">
        <v>58.701000000000001</v>
      </c>
      <c r="L14">
        <v>138.459</v>
      </c>
      <c r="N14" t="s">
        <v>19</v>
      </c>
      <c r="O14">
        <f t="shared" si="0"/>
        <v>75.000000000000014</v>
      </c>
      <c r="P14">
        <f t="shared" si="1"/>
        <v>4.1999999999999886</v>
      </c>
      <c r="Q14">
        <f t="shared" si="2"/>
        <v>162.30000000000001</v>
      </c>
      <c r="S14">
        <f t="shared" si="3"/>
        <v>165.44200000000001</v>
      </c>
      <c r="T14">
        <f t="shared" si="4"/>
        <v>79.75800000000001</v>
      </c>
      <c r="V14" t="str">
        <f t="shared" si="5"/>
        <v>Y</v>
      </c>
    </row>
    <row r="15" spans="1:22" x14ac:dyDescent="0.25">
      <c r="A15">
        <v>14</v>
      </c>
      <c r="B15">
        <v>86.3</v>
      </c>
      <c r="C15">
        <v>161.30000000000001</v>
      </c>
      <c r="D15">
        <v>-99.1</v>
      </c>
      <c r="E15">
        <v>-94.9</v>
      </c>
      <c r="F15">
        <v>-139</v>
      </c>
      <c r="G15">
        <v>23.7</v>
      </c>
      <c r="I15">
        <v>57.838000000000001</v>
      </c>
      <c r="J15">
        <v>223.86099999999999</v>
      </c>
      <c r="K15">
        <v>58.701999999999998</v>
      </c>
      <c r="L15">
        <v>138.36600000000001</v>
      </c>
      <c r="N15" t="s">
        <v>19</v>
      </c>
      <c r="O15">
        <f t="shared" si="0"/>
        <v>75.000000000000014</v>
      </c>
      <c r="P15">
        <f t="shared" si="1"/>
        <v>4.1999999999999886</v>
      </c>
      <c r="Q15">
        <f t="shared" si="2"/>
        <v>162.69999999999999</v>
      </c>
      <c r="S15">
        <f t="shared" si="3"/>
        <v>166.023</v>
      </c>
      <c r="T15">
        <f t="shared" si="4"/>
        <v>79.664000000000016</v>
      </c>
      <c r="V15" t="str">
        <f t="shared" si="5"/>
        <v>Y</v>
      </c>
    </row>
    <row r="16" spans="1:22" x14ac:dyDescent="0.25">
      <c r="A16">
        <v>15</v>
      </c>
      <c r="B16">
        <v>212.3</v>
      </c>
      <c r="C16">
        <v>383.4</v>
      </c>
      <c r="D16">
        <v>-100.1</v>
      </c>
      <c r="E16">
        <v>-91.7</v>
      </c>
      <c r="F16">
        <v>-213.7</v>
      </c>
      <c r="G16">
        <v>-91.5</v>
      </c>
      <c r="I16">
        <v>58.345999999999997</v>
      </c>
      <c r="J16">
        <v>229.24799999999999</v>
      </c>
      <c r="K16">
        <v>57.863</v>
      </c>
      <c r="L16">
        <v>179.74199999999999</v>
      </c>
      <c r="N16" t="s">
        <v>18</v>
      </c>
      <c r="O16">
        <f t="shared" si="0"/>
        <v>171.09999999999997</v>
      </c>
      <c r="P16">
        <f t="shared" si="1"/>
        <v>8.3999999999999915</v>
      </c>
      <c r="Q16">
        <f t="shared" si="2"/>
        <v>122.19999999999999</v>
      </c>
      <c r="S16">
        <f t="shared" si="3"/>
        <v>170.90199999999999</v>
      </c>
      <c r="T16">
        <f t="shared" si="4"/>
        <v>121.87899999999999</v>
      </c>
      <c r="V16" t="str">
        <f t="shared" si="5"/>
        <v>Y</v>
      </c>
    </row>
    <row r="17" spans="1:22" x14ac:dyDescent="0.25">
      <c r="A17">
        <v>16</v>
      </c>
      <c r="B17">
        <v>212.1</v>
      </c>
      <c r="C17">
        <v>374.9</v>
      </c>
      <c r="D17">
        <v>-129.80000000000001</v>
      </c>
      <c r="E17">
        <v>-94.3</v>
      </c>
      <c r="F17">
        <v>-162.19999999999999</v>
      </c>
      <c r="G17">
        <v>-69.599999999999994</v>
      </c>
      <c r="I17">
        <v>57.219000000000001</v>
      </c>
      <c r="J17">
        <v>222.655</v>
      </c>
      <c r="K17">
        <v>61.201999999999998</v>
      </c>
      <c r="L17">
        <v>149.279</v>
      </c>
      <c r="N17" t="s">
        <v>20</v>
      </c>
      <c r="O17">
        <f t="shared" si="0"/>
        <v>162.79999999999998</v>
      </c>
      <c r="P17">
        <f t="shared" si="1"/>
        <v>35.500000000000014</v>
      </c>
      <c r="Q17">
        <f t="shared" si="2"/>
        <v>92.6</v>
      </c>
      <c r="S17">
        <f t="shared" si="3"/>
        <v>165.43600000000001</v>
      </c>
      <c r="T17">
        <f t="shared" si="4"/>
        <v>88.076999999999998</v>
      </c>
      <c r="V17">
        <f t="shared" si="5"/>
        <v>0</v>
      </c>
    </row>
    <row r="18" spans="1:22" x14ac:dyDescent="0.25">
      <c r="A18">
        <v>17</v>
      </c>
      <c r="B18">
        <v>211.8</v>
      </c>
      <c r="C18">
        <v>374.1</v>
      </c>
      <c r="D18">
        <v>-128.6</v>
      </c>
      <c r="E18">
        <v>-94.5</v>
      </c>
      <c r="F18">
        <v>-162.69999999999999</v>
      </c>
      <c r="G18">
        <v>-69.099999999999994</v>
      </c>
      <c r="I18">
        <v>58.011000000000003</v>
      </c>
      <c r="J18">
        <v>223.191</v>
      </c>
      <c r="K18">
        <v>60.99</v>
      </c>
      <c r="L18">
        <v>148.876</v>
      </c>
      <c r="N18" t="s">
        <v>20</v>
      </c>
      <c r="O18">
        <f t="shared" si="0"/>
        <v>162.30000000000001</v>
      </c>
      <c r="P18">
        <f t="shared" si="1"/>
        <v>34.099999999999994</v>
      </c>
      <c r="Q18">
        <f t="shared" si="2"/>
        <v>93.6</v>
      </c>
      <c r="S18">
        <f t="shared" si="3"/>
        <v>165.18</v>
      </c>
      <c r="T18">
        <f t="shared" si="4"/>
        <v>87.885999999999996</v>
      </c>
      <c r="V18">
        <f t="shared" si="5"/>
        <v>0</v>
      </c>
    </row>
    <row r="19" spans="1:22" x14ac:dyDescent="0.25">
      <c r="A19">
        <v>18</v>
      </c>
      <c r="B19">
        <v>211.7</v>
      </c>
      <c r="C19">
        <v>375.1</v>
      </c>
      <c r="D19">
        <v>-129.6</v>
      </c>
      <c r="E19">
        <v>-94.5</v>
      </c>
      <c r="F19">
        <v>-162.69999999999999</v>
      </c>
      <c r="G19">
        <v>-69.2</v>
      </c>
      <c r="I19">
        <v>57.895000000000003</v>
      </c>
      <c r="J19">
        <v>224.11500000000001</v>
      </c>
      <c r="K19">
        <v>61.313000000000002</v>
      </c>
      <c r="L19">
        <v>149.20099999999999</v>
      </c>
      <c r="N19" t="s">
        <v>20</v>
      </c>
      <c r="O19">
        <f t="shared" si="0"/>
        <v>163.40000000000003</v>
      </c>
      <c r="P19">
        <f t="shared" si="1"/>
        <v>35.099999999999994</v>
      </c>
      <c r="Q19">
        <f t="shared" si="2"/>
        <v>93.499999999999986</v>
      </c>
      <c r="S19">
        <f t="shared" si="3"/>
        <v>166.22</v>
      </c>
      <c r="T19">
        <f t="shared" si="4"/>
        <v>87.887999999999991</v>
      </c>
      <c r="V19">
        <f t="shared" si="5"/>
        <v>0</v>
      </c>
    </row>
    <row r="20" spans="1:22" x14ac:dyDescent="0.25">
      <c r="A20">
        <v>19</v>
      </c>
      <c r="B20">
        <v>211.3</v>
      </c>
      <c r="C20">
        <v>381.9</v>
      </c>
      <c r="D20">
        <v>-101</v>
      </c>
      <c r="E20">
        <v>-90.1</v>
      </c>
      <c r="F20">
        <v>-212.9</v>
      </c>
      <c r="G20">
        <v>-91.6</v>
      </c>
      <c r="I20">
        <v>58.957000000000001</v>
      </c>
      <c r="J20">
        <v>230.018</v>
      </c>
      <c r="K20">
        <v>58.753</v>
      </c>
      <c r="L20">
        <v>180.70400000000001</v>
      </c>
      <c r="N20" t="s">
        <v>18</v>
      </c>
      <c r="O20">
        <f t="shared" si="0"/>
        <v>170.59999999999997</v>
      </c>
      <c r="P20">
        <f t="shared" si="1"/>
        <v>10.900000000000006</v>
      </c>
      <c r="Q20">
        <f t="shared" si="2"/>
        <v>121.30000000000001</v>
      </c>
      <c r="S20">
        <f t="shared" si="3"/>
        <v>171.06100000000001</v>
      </c>
      <c r="T20">
        <f t="shared" si="4"/>
        <v>121.95100000000001</v>
      </c>
      <c r="V20" t="str">
        <f t="shared" si="5"/>
        <v>Y</v>
      </c>
    </row>
    <row r="21" spans="1:22" x14ac:dyDescent="0.25">
      <c r="A21">
        <v>20</v>
      </c>
      <c r="B21">
        <v>212</v>
      </c>
      <c r="C21">
        <v>383</v>
      </c>
      <c r="D21">
        <v>-100</v>
      </c>
      <c r="E21">
        <v>-92.4</v>
      </c>
      <c r="F21">
        <v>-213.3</v>
      </c>
      <c r="G21">
        <v>-91.8</v>
      </c>
      <c r="I21">
        <v>58.283999999999999</v>
      </c>
      <c r="J21">
        <v>228.96199999999999</v>
      </c>
      <c r="K21">
        <v>57.643000000000001</v>
      </c>
      <c r="L21">
        <v>179.40700000000001</v>
      </c>
      <c r="N21" t="s">
        <v>18</v>
      </c>
      <c r="O21">
        <f t="shared" si="0"/>
        <v>171</v>
      </c>
      <c r="P21">
        <f t="shared" si="1"/>
        <v>7.5999999999999943</v>
      </c>
      <c r="Q21">
        <f t="shared" si="2"/>
        <v>121.50000000000001</v>
      </c>
      <c r="S21">
        <f t="shared" si="3"/>
        <v>170.678</v>
      </c>
      <c r="T21">
        <f t="shared" si="4"/>
        <v>121.76400000000001</v>
      </c>
      <c r="V21" t="str">
        <f t="shared" si="5"/>
        <v>Y</v>
      </c>
    </row>
    <row r="23" spans="1:22" x14ac:dyDescent="0.25">
      <c r="N23" t="s">
        <v>18</v>
      </c>
      <c r="O23">
        <v>170</v>
      </c>
      <c r="Q23">
        <v>125</v>
      </c>
    </row>
    <row r="24" spans="1:22" x14ac:dyDescent="0.25">
      <c r="N24" t="s">
        <v>17</v>
      </c>
      <c r="O24">
        <v>115</v>
      </c>
      <c r="Q24">
        <v>78</v>
      </c>
    </row>
    <row r="25" spans="1:22" x14ac:dyDescent="0.25">
      <c r="N25" t="s">
        <v>19</v>
      </c>
      <c r="O25">
        <v>74</v>
      </c>
      <c r="Q25">
        <v>161</v>
      </c>
    </row>
    <row r="26" spans="1:22" x14ac:dyDescent="0.25">
      <c r="N26" t="s">
        <v>21</v>
      </c>
      <c r="O26" t="s">
        <v>20</v>
      </c>
      <c r="Q26" t="s">
        <v>20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Jens Søby Hansen</dc:creator>
  <cp:lastModifiedBy>Jens Søby Hansen</cp:lastModifiedBy>
  <dcterms:created xsi:type="dcterms:W3CDTF">2025-12-12T14:17:16Z</dcterms:created>
  <dcterms:modified xsi:type="dcterms:W3CDTF">2025-12-12T15:03:31Z</dcterms:modified>
</cp:coreProperties>
</file>