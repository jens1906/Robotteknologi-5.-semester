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ns\Documents\GitHub\Robotteknologi-5.-semester\"/>
    </mc:Choice>
  </mc:AlternateContent>
  <xr:revisionPtr revIDLastSave="0" documentId="13_ncr:1_{B47825DC-B5FC-4F8D-96BC-1FAD47E956E1}" xr6:coauthVersionLast="47" xr6:coauthVersionMax="47" xr10:uidLastSave="{00000000-0000-0000-0000-000000000000}"/>
  <bookViews>
    <workbookView xWindow="-110" yWindow="-110" windowWidth="25820" windowHeight="15500" xr2:uid="{634B6407-AD3C-4DC4-BF9C-C1397938D91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6" i="1" l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AA25" i="1"/>
  <c r="Z25" i="1"/>
  <c r="Z3" i="1"/>
  <c r="AA3" i="1"/>
  <c r="Z4" i="1"/>
  <c r="AA4" i="1"/>
  <c r="Z5" i="1"/>
  <c r="AA5" i="1"/>
  <c r="Z6" i="1"/>
  <c r="AA6" i="1"/>
  <c r="Z7" i="1"/>
  <c r="AA7" i="1"/>
  <c r="Z8" i="1"/>
  <c r="AA8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AA2" i="1"/>
  <c r="Z2" i="1"/>
  <c r="W49" i="1"/>
  <c r="X49" i="1"/>
  <c r="W50" i="1"/>
  <c r="X50" i="1"/>
  <c r="W51" i="1"/>
  <c r="X51" i="1"/>
  <c r="W52" i="1"/>
  <c r="X52" i="1"/>
  <c r="W53" i="1"/>
  <c r="X53" i="1"/>
  <c r="W54" i="1"/>
  <c r="X54" i="1"/>
  <c r="W55" i="1"/>
  <c r="X55" i="1"/>
  <c r="W56" i="1"/>
  <c r="X56" i="1"/>
  <c r="W43" i="1"/>
  <c r="X43" i="1"/>
  <c r="W44" i="1"/>
  <c r="X44" i="1"/>
  <c r="W31" i="1"/>
  <c r="X31" i="1"/>
  <c r="W32" i="1"/>
  <c r="X32" i="1"/>
  <c r="W33" i="1"/>
  <c r="X33" i="1"/>
  <c r="W34" i="1"/>
  <c r="X34" i="1"/>
  <c r="W35" i="1"/>
  <c r="X35" i="1"/>
  <c r="W36" i="1"/>
  <c r="X36" i="1"/>
  <c r="W37" i="1"/>
  <c r="X37" i="1"/>
  <c r="W38" i="1"/>
  <c r="X38" i="1"/>
  <c r="W39" i="1"/>
  <c r="X39" i="1"/>
  <c r="W40" i="1"/>
  <c r="X40" i="1"/>
  <c r="W41" i="1"/>
  <c r="X41" i="1"/>
  <c r="W42" i="1"/>
  <c r="X42" i="1"/>
  <c r="W26" i="1"/>
  <c r="X26" i="1"/>
  <c r="W27" i="1"/>
  <c r="X27" i="1"/>
  <c r="W28" i="1"/>
  <c r="X28" i="1"/>
  <c r="W29" i="1"/>
  <c r="X29" i="1"/>
  <c r="W30" i="1"/>
  <c r="X30" i="1"/>
  <c r="X25" i="1"/>
  <c r="W25" i="1"/>
  <c r="X9" i="1"/>
  <c r="W11" i="1"/>
  <c r="X11" i="1"/>
  <c r="W12" i="1"/>
  <c r="X12" i="1"/>
  <c r="W13" i="1"/>
  <c r="X13" i="1"/>
  <c r="W16" i="1"/>
  <c r="X16" i="1"/>
  <c r="W17" i="1"/>
  <c r="X17" i="1"/>
  <c r="W18" i="1"/>
  <c r="X18" i="1"/>
  <c r="W19" i="1"/>
  <c r="X19" i="1"/>
  <c r="X21" i="1"/>
  <c r="O3" i="1"/>
  <c r="W3" i="1" s="1"/>
  <c r="P3" i="1"/>
  <c r="Q3" i="1"/>
  <c r="X3" i="1" s="1"/>
  <c r="S3" i="1"/>
  <c r="T3" i="1"/>
  <c r="O4" i="1"/>
  <c r="W4" i="1" s="1"/>
  <c r="P4" i="1"/>
  <c r="Q4" i="1"/>
  <c r="X4" i="1" s="1"/>
  <c r="S4" i="1"/>
  <c r="T4" i="1"/>
  <c r="O5" i="1"/>
  <c r="W5" i="1" s="1"/>
  <c r="P5" i="1"/>
  <c r="Q5" i="1"/>
  <c r="X5" i="1" s="1"/>
  <c r="S5" i="1"/>
  <c r="T5" i="1"/>
  <c r="O6" i="1"/>
  <c r="W6" i="1" s="1"/>
  <c r="P6" i="1"/>
  <c r="Q6" i="1"/>
  <c r="X6" i="1" s="1"/>
  <c r="S6" i="1"/>
  <c r="T6" i="1"/>
  <c r="O7" i="1"/>
  <c r="W7" i="1" s="1"/>
  <c r="P7" i="1"/>
  <c r="Q7" i="1"/>
  <c r="X7" i="1" s="1"/>
  <c r="S7" i="1"/>
  <c r="T7" i="1"/>
  <c r="O8" i="1"/>
  <c r="W8" i="1" s="1"/>
  <c r="P8" i="1"/>
  <c r="Q8" i="1"/>
  <c r="X8" i="1" s="1"/>
  <c r="S8" i="1"/>
  <c r="T8" i="1"/>
  <c r="O9" i="1"/>
  <c r="W9" i="1" s="1"/>
  <c r="P9" i="1"/>
  <c r="Q9" i="1"/>
  <c r="S9" i="1"/>
  <c r="T9" i="1"/>
  <c r="O10" i="1"/>
  <c r="W10" i="1" s="1"/>
  <c r="P10" i="1"/>
  <c r="Q10" i="1"/>
  <c r="X10" i="1" s="1"/>
  <c r="S10" i="1"/>
  <c r="T10" i="1"/>
  <c r="O11" i="1"/>
  <c r="P11" i="1"/>
  <c r="Q11" i="1"/>
  <c r="S11" i="1"/>
  <c r="T11" i="1"/>
  <c r="O12" i="1"/>
  <c r="P12" i="1"/>
  <c r="Q12" i="1"/>
  <c r="S12" i="1"/>
  <c r="T12" i="1"/>
  <c r="O13" i="1"/>
  <c r="P13" i="1"/>
  <c r="Q13" i="1"/>
  <c r="S13" i="1"/>
  <c r="T13" i="1"/>
  <c r="O14" i="1"/>
  <c r="W14" i="1" s="1"/>
  <c r="P14" i="1"/>
  <c r="Q14" i="1"/>
  <c r="X14" i="1" s="1"/>
  <c r="S14" i="1"/>
  <c r="T14" i="1"/>
  <c r="O15" i="1"/>
  <c r="W15" i="1" s="1"/>
  <c r="P15" i="1"/>
  <c r="Q15" i="1"/>
  <c r="X15" i="1" s="1"/>
  <c r="S15" i="1"/>
  <c r="T15" i="1"/>
  <c r="O16" i="1"/>
  <c r="P16" i="1"/>
  <c r="Q16" i="1"/>
  <c r="S16" i="1"/>
  <c r="T16" i="1"/>
  <c r="O17" i="1"/>
  <c r="P17" i="1"/>
  <c r="Q17" i="1"/>
  <c r="S17" i="1"/>
  <c r="T17" i="1"/>
  <c r="O18" i="1"/>
  <c r="P18" i="1"/>
  <c r="Q18" i="1"/>
  <c r="S18" i="1"/>
  <c r="T18" i="1"/>
  <c r="O19" i="1"/>
  <c r="P19" i="1"/>
  <c r="Q19" i="1"/>
  <c r="S19" i="1"/>
  <c r="T19" i="1"/>
  <c r="O20" i="1"/>
  <c r="W20" i="1" s="1"/>
  <c r="P20" i="1"/>
  <c r="Q20" i="1"/>
  <c r="X20" i="1" s="1"/>
  <c r="S20" i="1"/>
  <c r="T20" i="1"/>
  <c r="O21" i="1"/>
  <c r="W21" i="1" s="1"/>
  <c r="P21" i="1"/>
  <c r="Q21" i="1"/>
  <c r="S21" i="1"/>
  <c r="T21" i="1"/>
  <c r="T2" i="1"/>
  <c r="S2" i="1"/>
  <c r="Q2" i="1"/>
  <c r="X2" i="1" s="1"/>
  <c r="P2" i="1"/>
  <c r="O2" i="1"/>
  <c r="W2" i="1" s="1"/>
</calcChain>
</file>

<file path=xl/sharedStrings.xml><?xml version="1.0" encoding="utf-8"?>
<sst xmlns="http://schemas.openxmlformats.org/spreadsheetml/2006/main" count="53" uniqueCount="28">
  <si>
    <t>Test NR</t>
  </si>
  <si>
    <t>X_min</t>
  </si>
  <si>
    <t>X_max</t>
  </si>
  <si>
    <t>Y_min</t>
  </si>
  <si>
    <t>Y_max</t>
  </si>
  <si>
    <t>Z_min</t>
  </si>
  <si>
    <t>Z_max</t>
  </si>
  <si>
    <t>U_min</t>
  </si>
  <si>
    <t>U_max</t>
  </si>
  <si>
    <t>V_min</t>
  </si>
  <si>
    <t>V_max</t>
  </si>
  <si>
    <t>X</t>
  </si>
  <si>
    <t>Y</t>
  </si>
  <si>
    <t>Z</t>
  </si>
  <si>
    <t>U</t>
  </si>
  <si>
    <t>V</t>
  </si>
  <si>
    <t>Type</t>
  </si>
  <si>
    <t>Lblob</t>
  </si>
  <si>
    <t>SBlob</t>
  </si>
  <si>
    <t>Rec</t>
  </si>
  <si>
    <t>-</t>
  </si>
  <si>
    <t>LRec</t>
  </si>
  <si>
    <t>CorCheck</t>
  </si>
  <si>
    <t>Paracheck</t>
  </si>
  <si>
    <t>X_dif</t>
  </si>
  <si>
    <t>Y_dif</t>
  </si>
  <si>
    <t>U_Dif</t>
  </si>
  <si>
    <t>V_Dif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</si>
</sst>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6F927-AB27-401A-990D-9D8E7271204D}">
  <dimension ref="A1:AB56"/>
  <sheetViews>
    <sheetView tabSelected="1" zoomScale="72" workbookViewId="0">
      <selection activeCell="Q8" sqref="Q8"/>
    </sheetView>
  </sheetViews>
  <sheetFormatPr defaultRowHeight="14.5" x14ac:dyDescent="0.35"/>
  <sheetData>
    <row r="1" spans="1:28" ht="16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/>
      <c r="I1" s="1" t="s">
        <v>7</v>
      </c>
      <c r="J1" s="1" t="s">
        <v>8</v>
      </c>
      <c r="K1" s="1" t="s">
        <v>9</v>
      </c>
      <c r="L1" s="1" t="s">
        <v>10</v>
      </c>
      <c r="M1" s="1"/>
      <c r="N1" s="1" t="s">
        <v>16</v>
      </c>
      <c r="O1" s="1" t="s">
        <v>11</v>
      </c>
      <c r="P1" s="1" t="s">
        <v>12</v>
      </c>
      <c r="Q1" s="1" t="s">
        <v>13</v>
      </c>
      <c r="R1" s="1"/>
      <c r="S1" s="1" t="s">
        <v>14</v>
      </c>
      <c r="T1" s="1" t="s">
        <v>15</v>
      </c>
      <c r="V1" s="1" t="s">
        <v>22</v>
      </c>
      <c r="W1" s="1" t="s">
        <v>11</v>
      </c>
      <c r="X1" s="1" t="s">
        <v>12</v>
      </c>
      <c r="Z1" s="1" t="s">
        <v>24</v>
      </c>
      <c r="AA1" s="1" t="s">
        <v>25</v>
      </c>
      <c r="AB1" s="1"/>
    </row>
    <row r="2" spans="1:28" x14ac:dyDescent="0.35">
      <c r="A2">
        <v>1</v>
      </c>
      <c r="B2">
        <v>212.2</v>
      </c>
      <c r="C2">
        <v>383.5</v>
      </c>
      <c r="D2">
        <v>-100.7</v>
      </c>
      <c r="E2">
        <v>-90.3</v>
      </c>
      <c r="F2">
        <v>-213.6</v>
      </c>
      <c r="G2">
        <v>-92.7</v>
      </c>
      <c r="I2">
        <v>58.889000000000003</v>
      </c>
      <c r="J2">
        <v>228.60900000000001</v>
      </c>
      <c r="K2">
        <v>58.338999999999999</v>
      </c>
      <c r="L2">
        <v>180.09700000000001</v>
      </c>
      <c r="N2" t="s">
        <v>18</v>
      </c>
      <c r="O2">
        <f>C2-B2</f>
        <v>171.3</v>
      </c>
      <c r="P2">
        <f>E2-D2</f>
        <v>10.400000000000006</v>
      </c>
      <c r="Q2">
        <f>G2-F2</f>
        <v>120.89999999999999</v>
      </c>
      <c r="S2">
        <f>J2-I2</f>
        <v>169.72</v>
      </c>
      <c r="T2">
        <f>L2-K2</f>
        <v>121.75800000000001</v>
      </c>
      <c r="W2" t="b">
        <f>IF(N2="Sblob",
    AND(O2 &gt;= O$23*(1-0.05), O2 &lt;= O$23*(1+0.05)),
IF(N2="Lblob",
    AND(O2 &gt;= O$24*(1-0.05), O2 &lt;= O$24*(1+0.05)),
IF(N2="Rec",
    AND(O2 &gt;= O$25*(1-0.05), O2 &lt;= O$25*(1+0.05)),
""
)))</f>
        <v>1</v>
      </c>
      <c r="X2" t="b">
        <f>IF(N2="Sblob",
    AND(Q2 &gt;= Q$23*(1-0.05), Q2 &lt;= Q$23*(1+0.05)),
IF(N2="Lblob",
    AND(Q2 &gt;= Q$24*(1-0.05), Q2 &lt;= Q$24*(1+0.05)),
IF(N2="Rec",
    AND(Q2 &gt;= Q$25*(1-0.05), Q2 &lt;= Q$25*(1+0.05)),
""
)))</f>
        <v>1</v>
      </c>
      <c r="Z2" s="2">
        <f>IF(N2="Sblob", 1-O2/O$23,
   IF(N2="Lblob", 1-O2/O$24,
   IF(N2="Rec", 1-O2/O$25,
""
)))</f>
        <v>-7.6470588235295622E-3</v>
      </c>
      <c r="AA2" s="2">
        <f>IF(N2="Sblob", 1-Q2/Q$23,
   IF(N2="Lblob", 1-Q2/Q$24,
   IF(N2="Rec", 1-Q2/Q$25,
""
)))</f>
        <v>3.2800000000000051E-2</v>
      </c>
    </row>
    <row r="3" spans="1:28" x14ac:dyDescent="0.35">
      <c r="A3">
        <v>2</v>
      </c>
      <c r="B3">
        <v>212.7</v>
      </c>
      <c r="C3">
        <v>383.5</v>
      </c>
      <c r="D3">
        <v>-99.9</v>
      </c>
      <c r="E3">
        <v>-92.3</v>
      </c>
      <c r="F3">
        <v>-213.6</v>
      </c>
      <c r="G3">
        <v>-92.2</v>
      </c>
      <c r="I3">
        <v>58.256</v>
      </c>
      <c r="J3">
        <v>228.83699999999999</v>
      </c>
      <c r="K3">
        <v>57.951999999999998</v>
      </c>
      <c r="L3">
        <v>179.64099999999999</v>
      </c>
      <c r="N3" t="s">
        <v>18</v>
      </c>
      <c r="O3">
        <f t="shared" ref="O3:O21" si="0">C3-B3</f>
        <v>170.8</v>
      </c>
      <c r="P3">
        <f t="shared" ref="P3:P21" si="1">E3-D3</f>
        <v>7.6000000000000085</v>
      </c>
      <c r="Q3">
        <f t="shared" ref="Q3:Q21" si="2">G3-F3</f>
        <v>121.39999999999999</v>
      </c>
      <c r="S3">
        <f t="shared" ref="S3:S21" si="3">J3-I3</f>
        <v>170.58099999999999</v>
      </c>
      <c r="T3">
        <f t="shared" ref="T3:T21" si="4">L3-K3</f>
        <v>121.68899999999999</v>
      </c>
      <c r="W3" t="b">
        <f t="shared" ref="W3:W21" si="5">IF(N3="Sblob",
    AND(O3 &gt;= O$23*(1-0.05), O3 &lt;= O$23*(1+0.05)),
IF(N3="Lblob",
    AND(O3 &gt;= O$24*(1-0.05), O3 &lt;= O$24*(1+0.05)),
IF(N3="Rec",
    AND(O3 &gt;= O$25*(1-0.05), O3 &lt;= O$25*(1+0.05)),
""
)))</f>
        <v>1</v>
      </c>
      <c r="X3" t="b">
        <f t="shared" ref="X3:X21" si="6">IF(N3="Sblob",
    AND(Q3 &gt;= Q$23*(1-0.05), Q3 &lt;= Q$23*(1+0.05)),
IF(N3="Lblob",
    AND(Q3 &gt;= Q$24*(1-0.05), Q3 &lt;= Q$24*(1+0.05)),
IF(N3="Rec",
    AND(Q3 &gt;= Q$25*(1-0.05), Q3 &lt;= Q$25*(1+0.05)),
""
)))</f>
        <v>1</v>
      </c>
      <c r="Z3" s="2">
        <f t="shared" ref="Z3:Z21" si="7">IF(N3="Sblob", 1-O3/O$23,
   IF(N3="Lblob", 1-O3/O$24,
   IF(N3="Rec", 1-O3/O$25,
""
)))</f>
        <v>-4.7058823529413374E-3</v>
      </c>
      <c r="AA3" s="2">
        <f t="shared" ref="AA3:AA21" si="8">IF(N3="Sblob", 1-Q3/Q$23,
   IF(N3="Lblob", 1-Q3/Q$24,
   IF(N3="Rec", 1-Q3/Q$25,
""
)))</f>
        <v>2.8800000000000048E-2</v>
      </c>
    </row>
    <row r="4" spans="1:28" x14ac:dyDescent="0.35">
      <c r="A4">
        <v>3</v>
      </c>
      <c r="B4">
        <v>249.5</v>
      </c>
      <c r="C4">
        <v>374.4</v>
      </c>
      <c r="D4">
        <v>-99.4</v>
      </c>
      <c r="E4">
        <v>-90.4</v>
      </c>
      <c r="F4">
        <v>-62.8</v>
      </c>
      <c r="G4">
        <v>10.7</v>
      </c>
      <c r="I4">
        <v>62.49</v>
      </c>
      <c r="J4">
        <v>188.58600000000001</v>
      </c>
      <c r="K4">
        <v>59.487000000000002</v>
      </c>
      <c r="L4">
        <v>131.78399999999999</v>
      </c>
      <c r="N4" t="s">
        <v>17</v>
      </c>
      <c r="O4">
        <f t="shared" si="0"/>
        <v>124.89999999999998</v>
      </c>
      <c r="P4">
        <f t="shared" si="1"/>
        <v>9</v>
      </c>
      <c r="Q4">
        <f t="shared" si="2"/>
        <v>73.5</v>
      </c>
      <c r="S4">
        <f t="shared" si="3"/>
        <v>126.096</v>
      </c>
      <c r="T4">
        <f t="shared" si="4"/>
        <v>72.296999999999997</v>
      </c>
      <c r="W4" t="b">
        <f t="shared" si="5"/>
        <v>0</v>
      </c>
      <c r="X4" t="b">
        <f t="shared" si="6"/>
        <v>0</v>
      </c>
      <c r="Z4" s="2">
        <f t="shared" si="7"/>
        <v>-8.6086956521739033E-2</v>
      </c>
      <c r="AA4" s="2">
        <f t="shared" si="8"/>
        <v>5.7692307692307709E-2</v>
      </c>
    </row>
    <row r="5" spans="1:28" x14ac:dyDescent="0.35">
      <c r="A5">
        <v>4</v>
      </c>
      <c r="B5">
        <v>257</v>
      </c>
      <c r="C5">
        <v>379.4</v>
      </c>
      <c r="D5">
        <v>-99.4</v>
      </c>
      <c r="E5">
        <v>-90.6</v>
      </c>
      <c r="F5">
        <v>-66.2</v>
      </c>
      <c r="G5">
        <v>10.199999999999999</v>
      </c>
      <c r="I5">
        <v>63.008000000000003</v>
      </c>
      <c r="J5">
        <v>187.22499999999999</v>
      </c>
      <c r="K5">
        <v>58.801000000000002</v>
      </c>
      <c r="L5">
        <v>131.642</v>
      </c>
      <c r="N5" t="s">
        <v>17</v>
      </c>
      <c r="O5">
        <f t="shared" si="0"/>
        <v>122.39999999999998</v>
      </c>
      <c r="P5">
        <f t="shared" si="1"/>
        <v>8.8000000000000114</v>
      </c>
      <c r="Q5">
        <f t="shared" si="2"/>
        <v>76.400000000000006</v>
      </c>
      <c r="S5">
        <f t="shared" si="3"/>
        <v>124.21699999999998</v>
      </c>
      <c r="T5">
        <f t="shared" si="4"/>
        <v>72.840999999999994</v>
      </c>
      <c r="W5" t="b">
        <f t="shared" si="5"/>
        <v>0</v>
      </c>
      <c r="X5" t="b">
        <f t="shared" si="6"/>
        <v>1</v>
      </c>
      <c r="Z5" s="2">
        <f t="shared" si="7"/>
        <v>-6.4347826086956328E-2</v>
      </c>
      <c r="AA5" s="2">
        <f t="shared" si="8"/>
        <v>2.051282051282044E-2</v>
      </c>
    </row>
    <row r="6" spans="1:28" x14ac:dyDescent="0.35">
      <c r="A6">
        <v>5</v>
      </c>
      <c r="B6">
        <v>257.5</v>
      </c>
      <c r="C6">
        <v>382.1</v>
      </c>
      <c r="D6">
        <v>-99</v>
      </c>
      <c r="E6">
        <v>-90.4</v>
      </c>
      <c r="F6">
        <v>-75.7</v>
      </c>
      <c r="G6">
        <v>9.8000000000000007</v>
      </c>
      <c r="I6">
        <v>62.932000000000002</v>
      </c>
      <c r="J6">
        <v>188.536</v>
      </c>
      <c r="K6">
        <v>59.402000000000001</v>
      </c>
      <c r="L6">
        <v>141.31899999999999</v>
      </c>
      <c r="N6" t="s">
        <v>17</v>
      </c>
      <c r="O6">
        <f t="shared" si="0"/>
        <v>124.60000000000002</v>
      </c>
      <c r="P6">
        <f t="shared" si="1"/>
        <v>8.5999999999999943</v>
      </c>
      <c r="Q6">
        <f t="shared" si="2"/>
        <v>85.5</v>
      </c>
      <c r="S6">
        <f t="shared" si="3"/>
        <v>125.604</v>
      </c>
      <c r="T6">
        <f t="shared" si="4"/>
        <v>81.916999999999987</v>
      </c>
      <c r="W6" t="b">
        <f t="shared" si="5"/>
        <v>0</v>
      </c>
      <c r="X6" t="b">
        <f t="shared" si="6"/>
        <v>0</v>
      </c>
      <c r="Z6" s="2">
        <f t="shared" si="7"/>
        <v>-8.3478260869565446E-2</v>
      </c>
      <c r="AA6" s="2">
        <f t="shared" si="8"/>
        <v>-9.6153846153846256E-2</v>
      </c>
    </row>
    <row r="7" spans="1:28" x14ac:dyDescent="0.35">
      <c r="A7">
        <v>6</v>
      </c>
      <c r="B7">
        <v>257.5</v>
      </c>
      <c r="C7">
        <v>387.1</v>
      </c>
      <c r="D7">
        <v>-99.1</v>
      </c>
      <c r="E7">
        <v>-91.3</v>
      </c>
      <c r="F7">
        <v>-68.3</v>
      </c>
      <c r="G7">
        <v>10.1</v>
      </c>
      <c r="I7">
        <v>62.758000000000003</v>
      </c>
      <c r="J7">
        <v>192.90299999999999</v>
      </c>
      <c r="K7">
        <v>59.091000000000001</v>
      </c>
      <c r="L7">
        <v>136.786</v>
      </c>
      <c r="N7" t="s">
        <v>17</v>
      </c>
      <c r="O7">
        <f t="shared" si="0"/>
        <v>129.60000000000002</v>
      </c>
      <c r="P7">
        <f t="shared" si="1"/>
        <v>7.7999999999999972</v>
      </c>
      <c r="Q7">
        <f t="shared" si="2"/>
        <v>78.399999999999991</v>
      </c>
      <c r="S7">
        <f t="shared" si="3"/>
        <v>130.14499999999998</v>
      </c>
      <c r="T7">
        <f t="shared" si="4"/>
        <v>77.694999999999993</v>
      </c>
      <c r="W7" t="b">
        <f t="shared" si="5"/>
        <v>0</v>
      </c>
      <c r="X7" t="b">
        <f t="shared" si="6"/>
        <v>1</v>
      </c>
      <c r="Z7" s="2">
        <f t="shared" si="7"/>
        <v>-0.12695652173913063</v>
      </c>
      <c r="AA7" s="2">
        <f t="shared" si="8"/>
        <v>-5.12820512820511E-3</v>
      </c>
    </row>
    <row r="8" spans="1:28" x14ac:dyDescent="0.35">
      <c r="A8">
        <v>7</v>
      </c>
      <c r="B8">
        <v>231.8</v>
      </c>
      <c r="C8">
        <v>380</v>
      </c>
      <c r="D8">
        <v>-100.5</v>
      </c>
      <c r="E8">
        <v>-90.1</v>
      </c>
      <c r="F8">
        <v>-87</v>
      </c>
      <c r="G8">
        <v>10.5</v>
      </c>
      <c r="I8">
        <v>61.5</v>
      </c>
      <c r="J8">
        <v>217.55199999999999</v>
      </c>
      <c r="K8">
        <v>59.65</v>
      </c>
      <c r="L8">
        <v>150.232</v>
      </c>
      <c r="N8" t="s">
        <v>17</v>
      </c>
      <c r="O8">
        <f t="shared" si="0"/>
        <v>148.19999999999999</v>
      </c>
      <c r="P8">
        <f t="shared" si="1"/>
        <v>10.400000000000006</v>
      </c>
      <c r="Q8">
        <f t="shared" si="2"/>
        <v>97.5</v>
      </c>
      <c r="S8">
        <f t="shared" si="3"/>
        <v>156.05199999999999</v>
      </c>
      <c r="T8">
        <f t="shared" si="4"/>
        <v>90.581999999999994</v>
      </c>
      <c r="W8" t="b">
        <f t="shared" si="5"/>
        <v>0</v>
      </c>
      <c r="X8" t="b">
        <f t="shared" si="6"/>
        <v>0</v>
      </c>
      <c r="Z8" s="2">
        <f t="shared" si="7"/>
        <v>-0.28869565217391302</v>
      </c>
      <c r="AA8" s="2">
        <f t="shared" si="8"/>
        <v>-0.25</v>
      </c>
    </row>
    <row r="9" spans="1:28" x14ac:dyDescent="0.35">
      <c r="A9">
        <v>8</v>
      </c>
      <c r="B9">
        <v>246.1</v>
      </c>
      <c r="C9">
        <v>387.1</v>
      </c>
      <c r="D9">
        <v>-99.2</v>
      </c>
      <c r="E9">
        <v>-91.9</v>
      </c>
      <c r="F9">
        <v>-75.2</v>
      </c>
      <c r="G9">
        <v>19.3</v>
      </c>
      <c r="I9">
        <v>63.619</v>
      </c>
      <c r="J9">
        <v>204.88300000000001</v>
      </c>
      <c r="K9">
        <v>58.65</v>
      </c>
      <c r="L9">
        <v>151.89599999999999</v>
      </c>
      <c r="N9" t="s">
        <v>17</v>
      </c>
      <c r="O9">
        <f t="shared" si="0"/>
        <v>141.00000000000003</v>
      </c>
      <c r="P9">
        <f t="shared" si="1"/>
        <v>7.2999999999999972</v>
      </c>
      <c r="Q9">
        <f t="shared" si="2"/>
        <v>94.5</v>
      </c>
      <c r="S9">
        <f t="shared" si="3"/>
        <v>141.26400000000001</v>
      </c>
      <c r="T9">
        <f t="shared" si="4"/>
        <v>93.245999999999981</v>
      </c>
      <c r="W9" t="b">
        <f t="shared" si="5"/>
        <v>0</v>
      </c>
      <c r="X9" t="b">
        <f t="shared" si="6"/>
        <v>0</v>
      </c>
      <c r="Z9" s="2">
        <f t="shared" si="7"/>
        <v>-0.22608695652173938</v>
      </c>
      <c r="AA9" s="2">
        <f t="shared" si="8"/>
        <v>-0.21153846153846145</v>
      </c>
    </row>
    <row r="10" spans="1:28" x14ac:dyDescent="0.35">
      <c r="A10">
        <v>9</v>
      </c>
      <c r="B10">
        <v>86.5</v>
      </c>
      <c r="C10">
        <v>161.69999999999999</v>
      </c>
      <c r="D10">
        <v>-99.8</v>
      </c>
      <c r="E10">
        <v>-95.9</v>
      </c>
      <c r="F10">
        <v>-139.5</v>
      </c>
      <c r="G10">
        <v>23</v>
      </c>
      <c r="I10">
        <v>57.828000000000003</v>
      </c>
      <c r="J10">
        <v>223.72499999999999</v>
      </c>
      <c r="K10">
        <v>57.591999999999999</v>
      </c>
      <c r="L10">
        <v>137.85499999999999</v>
      </c>
      <c r="N10" t="s">
        <v>19</v>
      </c>
      <c r="O10">
        <f t="shared" si="0"/>
        <v>75.199999999999989</v>
      </c>
      <c r="P10">
        <f t="shared" si="1"/>
        <v>3.8999999999999915</v>
      </c>
      <c r="Q10">
        <f t="shared" si="2"/>
        <v>162.5</v>
      </c>
      <c r="S10">
        <f t="shared" si="3"/>
        <v>165.89699999999999</v>
      </c>
      <c r="T10">
        <f t="shared" si="4"/>
        <v>80.262999999999991</v>
      </c>
      <c r="W10" t="b">
        <f t="shared" si="5"/>
        <v>1</v>
      </c>
      <c r="X10" t="b">
        <f t="shared" si="6"/>
        <v>1</v>
      </c>
      <c r="Z10" s="2">
        <f t="shared" si="7"/>
        <v>-1.6216216216216051E-2</v>
      </c>
      <c r="AA10" s="2">
        <f t="shared" si="8"/>
        <v>-9.3167701863354768E-3</v>
      </c>
    </row>
    <row r="11" spans="1:28" x14ac:dyDescent="0.35">
      <c r="A11">
        <v>10</v>
      </c>
      <c r="B11">
        <v>85.7</v>
      </c>
      <c r="C11">
        <v>161.19999999999999</v>
      </c>
      <c r="D11">
        <v>-99.3</v>
      </c>
      <c r="E11">
        <v>-94.6</v>
      </c>
      <c r="F11">
        <v>-139.5</v>
      </c>
      <c r="G11">
        <v>-13.5</v>
      </c>
      <c r="I11">
        <v>59.027999999999999</v>
      </c>
      <c r="J11">
        <v>188.89400000000001</v>
      </c>
      <c r="K11">
        <v>58.817999999999998</v>
      </c>
      <c r="L11">
        <v>142.77099999999999</v>
      </c>
      <c r="N11" t="s">
        <v>21</v>
      </c>
      <c r="O11">
        <f t="shared" si="0"/>
        <v>75.499999999999986</v>
      </c>
      <c r="P11">
        <f t="shared" si="1"/>
        <v>4.7000000000000028</v>
      </c>
      <c r="Q11">
        <f t="shared" si="2"/>
        <v>126</v>
      </c>
      <c r="S11">
        <f t="shared" si="3"/>
        <v>129.86600000000001</v>
      </c>
      <c r="T11">
        <f t="shared" si="4"/>
        <v>83.952999999999989</v>
      </c>
      <c r="W11" t="str">
        <f t="shared" si="5"/>
        <v/>
      </c>
      <c r="X11" t="str">
        <f t="shared" si="6"/>
        <v/>
      </c>
      <c r="Z11" s="2" t="str">
        <f t="shared" si="7"/>
        <v/>
      </c>
      <c r="AA11" s="2" t="str">
        <f t="shared" si="8"/>
        <v/>
      </c>
    </row>
    <row r="12" spans="1:28" x14ac:dyDescent="0.35">
      <c r="A12">
        <v>11</v>
      </c>
      <c r="B12">
        <v>85.7</v>
      </c>
      <c r="C12">
        <v>161.1</v>
      </c>
      <c r="D12">
        <v>-99</v>
      </c>
      <c r="E12">
        <v>-95.5</v>
      </c>
      <c r="F12">
        <v>-139.4</v>
      </c>
      <c r="G12">
        <v>-24</v>
      </c>
      <c r="I12">
        <v>59.106000000000002</v>
      </c>
      <c r="J12">
        <v>175.53100000000001</v>
      </c>
      <c r="K12">
        <v>58.820999999999998</v>
      </c>
      <c r="L12">
        <v>139.89400000000001</v>
      </c>
      <c r="N12" t="s">
        <v>21</v>
      </c>
      <c r="O12">
        <f t="shared" si="0"/>
        <v>75.399999999999991</v>
      </c>
      <c r="P12">
        <f t="shared" si="1"/>
        <v>3.5</v>
      </c>
      <c r="Q12">
        <f t="shared" si="2"/>
        <v>115.4</v>
      </c>
      <c r="S12">
        <f t="shared" si="3"/>
        <v>116.42500000000001</v>
      </c>
      <c r="T12">
        <f t="shared" si="4"/>
        <v>81.073000000000008</v>
      </c>
      <c r="W12" t="str">
        <f t="shared" si="5"/>
        <v/>
      </c>
      <c r="X12" t="str">
        <f t="shared" si="6"/>
        <v/>
      </c>
      <c r="Z12" s="2" t="str">
        <f t="shared" si="7"/>
        <v/>
      </c>
      <c r="AA12" s="2" t="str">
        <f t="shared" si="8"/>
        <v/>
      </c>
    </row>
    <row r="13" spans="1:28" x14ac:dyDescent="0.35">
      <c r="A13">
        <v>12</v>
      </c>
      <c r="B13">
        <v>86.3</v>
      </c>
      <c r="C13">
        <v>161.30000000000001</v>
      </c>
      <c r="D13">
        <v>-98.6</v>
      </c>
      <c r="E13">
        <v>-94.9</v>
      </c>
      <c r="F13">
        <v>-139</v>
      </c>
      <c r="G13">
        <v>-26</v>
      </c>
      <c r="I13">
        <v>58.655000000000001</v>
      </c>
      <c r="J13">
        <v>177.50899999999999</v>
      </c>
      <c r="K13">
        <v>58.7</v>
      </c>
      <c r="L13">
        <v>142</v>
      </c>
      <c r="N13" t="s">
        <v>21</v>
      </c>
      <c r="O13">
        <f t="shared" si="0"/>
        <v>75.000000000000014</v>
      </c>
      <c r="P13">
        <f t="shared" si="1"/>
        <v>3.6999999999999886</v>
      </c>
      <c r="Q13">
        <f t="shared" si="2"/>
        <v>113</v>
      </c>
      <c r="S13">
        <f t="shared" si="3"/>
        <v>118.85399999999998</v>
      </c>
      <c r="T13">
        <f t="shared" si="4"/>
        <v>83.3</v>
      </c>
      <c r="W13" t="str">
        <f t="shared" si="5"/>
        <v/>
      </c>
      <c r="X13" t="str">
        <f t="shared" si="6"/>
        <v/>
      </c>
      <c r="Z13" s="2" t="str">
        <f t="shared" si="7"/>
        <v/>
      </c>
      <c r="AA13" s="2" t="str">
        <f t="shared" si="8"/>
        <v/>
      </c>
    </row>
    <row r="14" spans="1:28" x14ac:dyDescent="0.35">
      <c r="A14">
        <v>13</v>
      </c>
      <c r="B14">
        <v>86.3</v>
      </c>
      <c r="C14">
        <v>161.30000000000001</v>
      </c>
      <c r="D14">
        <v>-99.1</v>
      </c>
      <c r="E14">
        <v>-94.9</v>
      </c>
      <c r="F14">
        <v>-138.5</v>
      </c>
      <c r="G14">
        <v>23.8</v>
      </c>
      <c r="I14">
        <v>57.843000000000004</v>
      </c>
      <c r="J14">
        <v>223.285</v>
      </c>
      <c r="K14">
        <v>58.701000000000001</v>
      </c>
      <c r="L14">
        <v>138.459</v>
      </c>
      <c r="N14" t="s">
        <v>19</v>
      </c>
      <c r="O14">
        <f t="shared" si="0"/>
        <v>75.000000000000014</v>
      </c>
      <c r="P14">
        <f t="shared" si="1"/>
        <v>4.1999999999999886</v>
      </c>
      <c r="Q14">
        <f t="shared" si="2"/>
        <v>162.30000000000001</v>
      </c>
      <c r="S14">
        <f t="shared" si="3"/>
        <v>165.44200000000001</v>
      </c>
      <c r="T14">
        <f t="shared" si="4"/>
        <v>79.75800000000001</v>
      </c>
      <c r="W14" t="b">
        <f t="shared" si="5"/>
        <v>1</v>
      </c>
      <c r="X14" t="b">
        <f t="shared" si="6"/>
        <v>1</v>
      </c>
      <c r="Z14" s="2">
        <f t="shared" si="7"/>
        <v>-1.3513513513513598E-2</v>
      </c>
      <c r="AA14" s="2">
        <f t="shared" si="8"/>
        <v>-8.0745341614907318E-3</v>
      </c>
    </row>
    <row r="15" spans="1:28" x14ac:dyDescent="0.35">
      <c r="A15">
        <v>14</v>
      </c>
      <c r="B15">
        <v>86.3</v>
      </c>
      <c r="C15">
        <v>161.30000000000001</v>
      </c>
      <c r="D15">
        <v>-99.1</v>
      </c>
      <c r="E15">
        <v>-94.9</v>
      </c>
      <c r="F15">
        <v>-139</v>
      </c>
      <c r="G15">
        <v>23.7</v>
      </c>
      <c r="I15">
        <v>57.838000000000001</v>
      </c>
      <c r="J15">
        <v>223.86099999999999</v>
      </c>
      <c r="K15">
        <v>58.701999999999998</v>
      </c>
      <c r="L15">
        <v>138.36600000000001</v>
      </c>
      <c r="N15" t="s">
        <v>19</v>
      </c>
      <c r="O15">
        <f t="shared" si="0"/>
        <v>75.000000000000014</v>
      </c>
      <c r="P15">
        <f t="shared" si="1"/>
        <v>4.1999999999999886</v>
      </c>
      <c r="Q15">
        <f t="shared" si="2"/>
        <v>162.69999999999999</v>
      </c>
      <c r="S15">
        <f t="shared" si="3"/>
        <v>166.023</v>
      </c>
      <c r="T15">
        <f t="shared" si="4"/>
        <v>79.664000000000016</v>
      </c>
      <c r="W15" t="b">
        <f t="shared" si="5"/>
        <v>1</v>
      </c>
      <c r="X15" t="b">
        <f t="shared" si="6"/>
        <v>1</v>
      </c>
      <c r="Z15" s="2">
        <f t="shared" si="7"/>
        <v>-1.3513513513513598E-2</v>
      </c>
      <c r="AA15" s="2">
        <f t="shared" si="8"/>
        <v>-1.055900621118E-2</v>
      </c>
    </row>
    <row r="16" spans="1:28" x14ac:dyDescent="0.35">
      <c r="A16">
        <v>15</v>
      </c>
      <c r="B16">
        <v>212.3</v>
      </c>
      <c r="C16">
        <v>383.4</v>
      </c>
      <c r="D16">
        <v>-100.1</v>
      </c>
      <c r="E16">
        <v>-91.7</v>
      </c>
      <c r="F16">
        <v>-213.7</v>
      </c>
      <c r="G16">
        <v>-91.5</v>
      </c>
      <c r="I16">
        <v>58.345999999999997</v>
      </c>
      <c r="J16">
        <v>229.24799999999999</v>
      </c>
      <c r="K16">
        <v>57.863</v>
      </c>
      <c r="L16">
        <v>179.74199999999999</v>
      </c>
      <c r="N16" t="s">
        <v>18</v>
      </c>
      <c r="O16">
        <f t="shared" si="0"/>
        <v>171.09999999999997</v>
      </c>
      <c r="P16">
        <f t="shared" si="1"/>
        <v>8.3999999999999915</v>
      </c>
      <c r="Q16">
        <f t="shared" si="2"/>
        <v>122.19999999999999</v>
      </c>
      <c r="S16">
        <f t="shared" si="3"/>
        <v>170.90199999999999</v>
      </c>
      <c r="T16">
        <f t="shared" si="4"/>
        <v>121.87899999999999</v>
      </c>
      <c r="W16" t="b">
        <f t="shared" si="5"/>
        <v>1</v>
      </c>
      <c r="X16" t="b">
        <f t="shared" si="6"/>
        <v>1</v>
      </c>
      <c r="Z16" s="2">
        <f t="shared" si="7"/>
        <v>-6.4705882352940058E-3</v>
      </c>
      <c r="AA16" s="2">
        <f t="shared" si="8"/>
        <v>2.2400000000000087E-2</v>
      </c>
    </row>
    <row r="17" spans="1:27" x14ac:dyDescent="0.35">
      <c r="A17">
        <v>16</v>
      </c>
      <c r="B17">
        <v>212.1</v>
      </c>
      <c r="C17">
        <v>374.9</v>
      </c>
      <c r="D17">
        <v>-129.80000000000001</v>
      </c>
      <c r="E17">
        <v>-94.3</v>
      </c>
      <c r="F17">
        <v>-162.19999999999999</v>
      </c>
      <c r="G17">
        <v>-69.599999999999994</v>
      </c>
      <c r="I17">
        <v>57.219000000000001</v>
      </c>
      <c r="J17">
        <v>222.655</v>
      </c>
      <c r="K17">
        <v>61.201999999999998</v>
      </c>
      <c r="L17">
        <v>149.279</v>
      </c>
      <c r="N17" t="s">
        <v>20</v>
      </c>
      <c r="O17">
        <f t="shared" si="0"/>
        <v>162.79999999999998</v>
      </c>
      <c r="P17">
        <f t="shared" si="1"/>
        <v>35.500000000000014</v>
      </c>
      <c r="Q17">
        <f t="shared" si="2"/>
        <v>92.6</v>
      </c>
      <c r="S17">
        <f t="shared" si="3"/>
        <v>165.43600000000001</v>
      </c>
      <c r="T17">
        <f t="shared" si="4"/>
        <v>88.076999999999998</v>
      </c>
      <c r="W17" t="str">
        <f t="shared" si="5"/>
        <v/>
      </c>
      <c r="X17" t="str">
        <f t="shared" si="6"/>
        <v/>
      </c>
      <c r="Z17" s="2" t="str">
        <f t="shared" si="7"/>
        <v/>
      </c>
      <c r="AA17" s="2" t="str">
        <f t="shared" si="8"/>
        <v/>
      </c>
    </row>
    <row r="18" spans="1:27" x14ac:dyDescent="0.35">
      <c r="A18">
        <v>17</v>
      </c>
      <c r="B18">
        <v>211.8</v>
      </c>
      <c r="C18">
        <v>374.1</v>
      </c>
      <c r="D18">
        <v>-128.6</v>
      </c>
      <c r="E18">
        <v>-94.5</v>
      </c>
      <c r="F18">
        <v>-162.69999999999999</v>
      </c>
      <c r="G18">
        <v>-69.099999999999994</v>
      </c>
      <c r="I18">
        <v>58.011000000000003</v>
      </c>
      <c r="J18">
        <v>223.191</v>
      </c>
      <c r="K18">
        <v>60.99</v>
      </c>
      <c r="L18">
        <v>148.876</v>
      </c>
      <c r="N18" t="s">
        <v>20</v>
      </c>
      <c r="O18">
        <f t="shared" si="0"/>
        <v>162.30000000000001</v>
      </c>
      <c r="P18">
        <f t="shared" si="1"/>
        <v>34.099999999999994</v>
      </c>
      <c r="Q18">
        <f t="shared" si="2"/>
        <v>93.6</v>
      </c>
      <c r="S18">
        <f t="shared" si="3"/>
        <v>165.18</v>
      </c>
      <c r="T18">
        <f t="shared" si="4"/>
        <v>87.885999999999996</v>
      </c>
      <c r="W18" t="str">
        <f t="shared" si="5"/>
        <v/>
      </c>
      <c r="X18" t="str">
        <f t="shared" si="6"/>
        <v/>
      </c>
      <c r="Z18" s="2" t="str">
        <f t="shared" si="7"/>
        <v/>
      </c>
      <c r="AA18" s="2" t="str">
        <f t="shared" si="8"/>
        <v/>
      </c>
    </row>
    <row r="19" spans="1:27" x14ac:dyDescent="0.35">
      <c r="A19">
        <v>18</v>
      </c>
      <c r="B19">
        <v>211.7</v>
      </c>
      <c r="C19">
        <v>375.1</v>
      </c>
      <c r="D19">
        <v>-129.6</v>
      </c>
      <c r="E19">
        <v>-94.5</v>
      </c>
      <c r="F19">
        <v>-162.69999999999999</v>
      </c>
      <c r="G19">
        <v>-69.2</v>
      </c>
      <c r="I19">
        <v>57.895000000000003</v>
      </c>
      <c r="J19">
        <v>224.11500000000001</v>
      </c>
      <c r="K19">
        <v>61.313000000000002</v>
      </c>
      <c r="L19">
        <v>149.20099999999999</v>
      </c>
      <c r="N19" t="s">
        <v>20</v>
      </c>
      <c r="O19">
        <f t="shared" si="0"/>
        <v>163.40000000000003</v>
      </c>
      <c r="P19">
        <f t="shared" si="1"/>
        <v>35.099999999999994</v>
      </c>
      <c r="Q19">
        <f t="shared" si="2"/>
        <v>93.499999999999986</v>
      </c>
      <c r="S19">
        <f t="shared" si="3"/>
        <v>166.22</v>
      </c>
      <c r="T19">
        <f t="shared" si="4"/>
        <v>87.887999999999991</v>
      </c>
      <c r="W19" t="str">
        <f t="shared" si="5"/>
        <v/>
      </c>
      <c r="X19" t="str">
        <f t="shared" si="6"/>
        <v/>
      </c>
      <c r="Z19" s="2" t="str">
        <f t="shared" si="7"/>
        <v/>
      </c>
      <c r="AA19" s="2" t="str">
        <f t="shared" si="8"/>
        <v/>
      </c>
    </row>
    <row r="20" spans="1:27" x14ac:dyDescent="0.35">
      <c r="A20">
        <v>19</v>
      </c>
      <c r="B20">
        <v>211.3</v>
      </c>
      <c r="C20">
        <v>381.9</v>
      </c>
      <c r="D20">
        <v>-101</v>
      </c>
      <c r="E20">
        <v>-90.1</v>
      </c>
      <c r="F20">
        <v>-212.9</v>
      </c>
      <c r="G20">
        <v>-91.6</v>
      </c>
      <c r="I20">
        <v>58.957000000000001</v>
      </c>
      <c r="J20">
        <v>230.018</v>
      </c>
      <c r="K20">
        <v>58.753</v>
      </c>
      <c r="L20">
        <v>180.70400000000001</v>
      </c>
      <c r="N20" t="s">
        <v>18</v>
      </c>
      <c r="O20">
        <f t="shared" si="0"/>
        <v>170.59999999999997</v>
      </c>
      <c r="P20">
        <f t="shared" si="1"/>
        <v>10.900000000000006</v>
      </c>
      <c r="Q20">
        <f t="shared" si="2"/>
        <v>121.30000000000001</v>
      </c>
      <c r="S20">
        <f t="shared" si="3"/>
        <v>171.06100000000001</v>
      </c>
      <c r="T20">
        <f t="shared" si="4"/>
        <v>121.95100000000001</v>
      </c>
      <c r="W20" t="b">
        <f t="shared" si="5"/>
        <v>1</v>
      </c>
      <c r="X20" t="b">
        <f t="shared" si="6"/>
        <v>1</v>
      </c>
      <c r="Z20" s="2">
        <f t="shared" si="7"/>
        <v>-3.529411764705781E-3</v>
      </c>
      <c r="AA20" s="2">
        <f t="shared" si="8"/>
        <v>2.959999999999996E-2</v>
      </c>
    </row>
    <row r="21" spans="1:27" x14ac:dyDescent="0.35">
      <c r="A21">
        <v>20</v>
      </c>
      <c r="B21">
        <v>212</v>
      </c>
      <c r="C21">
        <v>383</v>
      </c>
      <c r="D21">
        <v>-100</v>
      </c>
      <c r="E21">
        <v>-92.4</v>
      </c>
      <c r="F21">
        <v>-213.3</v>
      </c>
      <c r="G21">
        <v>-91.8</v>
      </c>
      <c r="I21">
        <v>58.283999999999999</v>
      </c>
      <c r="J21">
        <v>228.96199999999999</v>
      </c>
      <c r="K21">
        <v>57.643000000000001</v>
      </c>
      <c r="L21">
        <v>179.40700000000001</v>
      </c>
      <c r="N21" t="s">
        <v>18</v>
      </c>
      <c r="O21">
        <f t="shared" si="0"/>
        <v>171</v>
      </c>
      <c r="P21">
        <f t="shared" si="1"/>
        <v>7.5999999999999943</v>
      </c>
      <c r="Q21">
        <f t="shared" si="2"/>
        <v>121.50000000000001</v>
      </c>
      <c r="S21">
        <f t="shared" si="3"/>
        <v>170.678</v>
      </c>
      <c r="T21">
        <f t="shared" si="4"/>
        <v>121.76400000000001</v>
      </c>
      <c r="W21" t="b">
        <f t="shared" si="5"/>
        <v>1</v>
      </c>
      <c r="X21" t="b">
        <f t="shared" si="6"/>
        <v>1</v>
      </c>
      <c r="Z21" s="2">
        <f t="shared" si="7"/>
        <v>-5.8823529411764497E-3</v>
      </c>
      <c r="AA21" s="2">
        <f t="shared" si="8"/>
        <v>2.7999999999999914E-2</v>
      </c>
    </row>
    <row r="23" spans="1:27" x14ac:dyDescent="0.35">
      <c r="N23" t="s">
        <v>18</v>
      </c>
      <c r="O23">
        <v>170</v>
      </c>
      <c r="Q23">
        <v>125</v>
      </c>
    </row>
    <row r="24" spans="1:27" ht="16" x14ac:dyDescent="0.4">
      <c r="N24" t="s">
        <v>17</v>
      </c>
      <c r="O24">
        <v>115</v>
      </c>
      <c r="Q24">
        <v>78</v>
      </c>
      <c r="V24" s="1" t="s">
        <v>23</v>
      </c>
      <c r="W24" s="1" t="s">
        <v>14</v>
      </c>
      <c r="X24" s="1" t="s">
        <v>15</v>
      </c>
      <c r="Z24" s="1" t="s">
        <v>26</v>
      </c>
      <c r="AA24" s="1" t="s">
        <v>27</v>
      </c>
    </row>
    <row r="25" spans="1:27" x14ac:dyDescent="0.35">
      <c r="N25" t="s">
        <v>19</v>
      </c>
      <c r="O25">
        <v>74</v>
      </c>
      <c r="Q25">
        <v>161</v>
      </c>
      <c r="V25">
        <v>1</v>
      </c>
      <c r="W25" t="b">
        <f>IF(N2="Sblob",
    AND(S2 &gt;= O$23*(1-0.05), S2 &lt;= O$23*(1+0.05)),
IF(N2="Lblob",
    AND(S2 &gt;= O$24*(1-0.05), S2 &lt;= O$24*(1+0.05)),
IF(N2="Rec",
    AND(S2 &gt;= O$25*(1-0.05), S2 &lt;= O$25*(1+0.05)),
""
)))</f>
        <v>1</v>
      </c>
      <c r="X25" t="b">
        <f>IF(N2="Sblob",
    AND(T2 &gt;= Q$23*(1-0.05), T2 &lt;= Q$23*(1+0.05)),
IF(N2="Lblob",
    AND(T2 &gt;= Q$24*(1-0.05), T2 &lt;= Q$24*(1+0.05)),
IF(N2="Rec",
    AND(T2 &gt;= Q$25*(1-0.05), T2 &lt;= Q$25*(1+0.05)),
""
)))</f>
        <v>1</v>
      </c>
      <c r="Z25">
        <f>IF(N2="Sblob", 1-S2/O$23,
   IF(N2="Lblob", 1-S2/O$24,
   IF(N2="Rec", 1-S2/O$25,
""
)))</f>
        <v>1.6470588235294459E-3</v>
      </c>
      <c r="AA25">
        <f>IF(N2="Sblob", 1-T2/Q$23,
   IF(N2="Lblob", 1-T2/Q$24,
   IF(N2="Rec", 1-T2/Q$25,
""
)))</f>
        <v>2.5935999999999959E-2</v>
      </c>
    </row>
    <row r="26" spans="1:27" x14ac:dyDescent="0.35">
      <c r="N26" t="s">
        <v>21</v>
      </c>
      <c r="O26" t="s">
        <v>20</v>
      </c>
      <c r="Q26" t="s">
        <v>20</v>
      </c>
      <c r="V26">
        <v>2</v>
      </c>
      <c r="W26" t="b">
        <f t="shared" ref="W26:W31" si="9">IF(N3="Sblob",
    AND(S3 &gt;= O$23*(1-0.05), S3 &lt;= O$23*(1+0.05)),
IF(N3="Lblob",
    AND(S3 &gt;= O$24*(1-0.05), S3 &lt;= O$24*(1+0.05)),
IF(N3="Rec",
    AND(S3 &gt;= O$25*(1-0.05), S3 &lt;= O$25*(1+0.05)),
""
)))</f>
        <v>1</v>
      </c>
      <c r="X26" t="b">
        <f t="shared" ref="X26:X31" si="10">IF(N3="Sblob",
    AND(T3 &gt;= Q$23*(1-0.05), T3 &lt;= Q$23*(1+0.05)),
IF(N3="Lblob",
    AND(T3 &gt;= Q$24*(1-0.05), T3 &lt;= Q$24*(1+0.05)),
IF(N3="Rec",
    AND(T3 &gt;= Q$25*(1-0.05), T3 &lt;= Q$25*(1+0.05)),
""
)))</f>
        <v>1</v>
      </c>
      <c r="Z26">
        <f t="shared" ref="Z26:Z44" si="11">IF(N3="Sblob", 1-S3/O$23,
   IF(N3="Lblob", 1-S3/O$24,
   IF(N3="Rec", 1-S3/O$25,
""
)))</f>
        <v>-3.4176470588234142E-3</v>
      </c>
      <c r="AA26">
        <f t="shared" ref="AA26:AA44" si="12">IF(N3="Sblob", 1-T3/Q$23,
   IF(N3="Lblob", 1-T3/Q$24,
   IF(N3="Rec", 1-T3/Q$25,
""
)))</f>
        <v>2.6488000000000067E-2</v>
      </c>
    </row>
    <row r="27" spans="1:27" x14ac:dyDescent="0.35">
      <c r="V27">
        <v>3</v>
      </c>
      <c r="W27" t="b">
        <f t="shared" si="9"/>
        <v>0</v>
      </c>
      <c r="X27" t="b">
        <f t="shared" si="10"/>
        <v>0</v>
      </c>
      <c r="Z27">
        <f t="shared" si="11"/>
        <v>-9.648695652173922E-2</v>
      </c>
      <c r="AA27">
        <f t="shared" si="12"/>
        <v>7.3115384615384693E-2</v>
      </c>
    </row>
    <row r="28" spans="1:27" x14ac:dyDescent="0.35">
      <c r="V28">
        <v>4</v>
      </c>
      <c r="W28" t="b">
        <f t="shared" si="9"/>
        <v>0</v>
      </c>
      <c r="X28" t="b">
        <f t="shared" si="10"/>
        <v>0</v>
      </c>
      <c r="Z28">
        <f t="shared" si="11"/>
        <v>-8.0147826086956364E-2</v>
      </c>
      <c r="AA28">
        <f t="shared" si="12"/>
        <v>6.6141025641025752E-2</v>
      </c>
    </row>
    <row r="29" spans="1:27" x14ac:dyDescent="0.35">
      <c r="V29">
        <v>5</v>
      </c>
      <c r="W29" t="b">
        <f t="shared" si="9"/>
        <v>0</v>
      </c>
      <c r="X29" t="b">
        <f t="shared" si="10"/>
        <v>0</v>
      </c>
      <c r="Z29">
        <f t="shared" si="11"/>
        <v>-9.2208695652173933E-2</v>
      </c>
      <c r="AA29">
        <f t="shared" si="12"/>
        <v>-5.0217948717948602E-2</v>
      </c>
    </row>
    <row r="30" spans="1:27" x14ac:dyDescent="0.35">
      <c r="V30">
        <v>6</v>
      </c>
      <c r="W30" t="b">
        <f t="shared" si="9"/>
        <v>0</v>
      </c>
      <c r="X30" t="b">
        <f t="shared" si="10"/>
        <v>1</v>
      </c>
      <c r="Z30">
        <f t="shared" si="11"/>
        <v>-0.13169565217391299</v>
      </c>
      <c r="AA30">
        <f t="shared" si="12"/>
        <v>3.9102564102565518E-3</v>
      </c>
    </row>
    <row r="31" spans="1:27" x14ac:dyDescent="0.35">
      <c r="V31">
        <v>7</v>
      </c>
      <c r="W31" t="b">
        <f t="shared" si="9"/>
        <v>0</v>
      </c>
      <c r="X31" t="b">
        <f t="shared" si="10"/>
        <v>0</v>
      </c>
      <c r="Z31">
        <f t="shared" si="11"/>
        <v>-0.35697391304347814</v>
      </c>
      <c r="AA31">
        <f t="shared" si="12"/>
        <v>-0.16130769230769215</v>
      </c>
    </row>
    <row r="32" spans="1:27" x14ac:dyDescent="0.35">
      <c r="V32">
        <v>8</v>
      </c>
      <c r="W32" t="b">
        <f t="shared" ref="W32:W42" si="13">IF(N9="Sblob",
    AND(S9 &gt;= O$23*(1-0.05), S9 &lt;= O$23*(1+0.05)),
IF(N9="Lblob",
    AND(S9 &gt;= O$24*(1-0.05), S9 &lt;= O$24*(1+0.05)),
IF(N9="Rec",
    AND(S9 &gt;= O$25*(1-0.05), S9 &lt;= O$25*(1+0.05)),
""
)))</f>
        <v>0</v>
      </c>
      <c r="X32" t="b">
        <f t="shared" ref="X32:X42" si="14">IF(N9="Sblob",
    AND(T9 &gt;= Q$23*(1-0.05), T9 &lt;= Q$23*(1+0.05)),
IF(N9="Lblob",
    AND(T9 &gt;= Q$24*(1-0.05), T9 &lt;= Q$24*(1+0.05)),
IF(N9="Rec",
    AND(T9 &gt;= Q$25*(1-0.05), T9 &lt;= Q$25*(1+0.05)),
""
)))</f>
        <v>0</v>
      </c>
      <c r="Z32">
        <f t="shared" si="11"/>
        <v>-0.22838260869565219</v>
      </c>
      <c r="AA32">
        <f t="shared" si="12"/>
        <v>-0.19546153846153813</v>
      </c>
    </row>
    <row r="33" spans="22:27" x14ac:dyDescent="0.35">
      <c r="V33">
        <v>9</v>
      </c>
      <c r="W33" t="b">
        <f t="shared" si="13"/>
        <v>0</v>
      </c>
      <c r="X33" t="b">
        <f t="shared" si="14"/>
        <v>0</v>
      </c>
      <c r="Z33">
        <f t="shared" si="11"/>
        <v>-1.2418513513513512</v>
      </c>
      <c r="AA33">
        <f t="shared" si="12"/>
        <v>0.50147204968944104</v>
      </c>
    </row>
    <row r="34" spans="22:27" x14ac:dyDescent="0.35">
      <c r="V34">
        <v>10</v>
      </c>
      <c r="W34" t="str">
        <f t="shared" si="13"/>
        <v/>
      </c>
      <c r="X34" t="str">
        <f t="shared" si="14"/>
        <v/>
      </c>
      <c r="Z34" t="str">
        <f t="shared" si="11"/>
        <v/>
      </c>
      <c r="AA34" t="str">
        <f t="shared" si="12"/>
        <v/>
      </c>
    </row>
    <row r="35" spans="22:27" x14ac:dyDescent="0.35">
      <c r="V35">
        <v>11</v>
      </c>
      <c r="W35" t="str">
        <f t="shared" si="13"/>
        <v/>
      </c>
      <c r="X35" t="str">
        <f t="shared" si="14"/>
        <v/>
      </c>
      <c r="Z35" t="str">
        <f t="shared" si="11"/>
        <v/>
      </c>
      <c r="AA35" t="str">
        <f t="shared" si="12"/>
        <v/>
      </c>
    </row>
    <row r="36" spans="22:27" x14ac:dyDescent="0.35">
      <c r="V36">
        <v>12</v>
      </c>
      <c r="W36" t="str">
        <f t="shared" si="13"/>
        <v/>
      </c>
      <c r="X36" t="str">
        <f t="shared" si="14"/>
        <v/>
      </c>
      <c r="Z36" t="str">
        <f t="shared" si="11"/>
        <v/>
      </c>
      <c r="AA36" t="str">
        <f t="shared" si="12"/>
        <v/>
      </c>
    </row>
    <row r="37" spans="22:27" x14ac:dyDescent="0.35">
      <c r="V37">
        <v>13</v>
      </c>
      <c r="W37" t="b">
        <f t="shared" si="13"/>
        <v>0</v>
      </c>
      <c r="X37" t="b">
        <f t="shared" si="14"/>
        <v>0</v>
      </c>
      <c r="Z37">
        <f t="shared" si="11"/>
        <v>-1.235702702702703</v>
      </c>
      <c r="AA37">
        <f t="shared" si="12"/>
        <v>0.50460869565217381</v>
      </c>
    </row>
    <row r="38" spans="22:27" x14ac:dyDescent="0.35">
      <c r="V38">
        <v>14</v>
      </c>
      <c r="W38" t="b">
        <f t="shared" si="13"/>
        <v>0</v>
      </c>
      <c r="X38" t="b">
        <f t="shared" si="14"/>
        <v>0</v>
      </c>
      <c r="Z38">
        <f t="shared" si="11"/>
        <v>-1.2435540540540542</v>
      </c>
      <c r="AA38">
        <f t="shared" si="12"/>
        <v>0.50519254658385082</v>
      </c>
    </row>
    <row r="39" spans="22:27" x14ac:dyDescent="0.35">
      <c r="V39">
        <v>15</v>
      </c>
      <c r="W39" t="b">
        <f t="shared" si="13"/>
        <v>1</v>
      </c>
      <c r="X39" t="b">
        <f t="shared" si="14"/>
        <v>1</v>
      </c>
      <c r="Z39">
        <f t="shared" si="11"/>
        <v>-5.3058823529410493E-3</v>
      </c>
      <c r="AA39">
        <f t="shared" si="12"/>
        <v>2.4968000000000101E-2</v>
      </c>
    </row>
    <row r="40" spans="22:27" x14ac:dyDescent="0.35">
      <c r="V40">
        <v>16</v>
      </c>
      <c r="W40" t="str">
        <f t="shared" si="13"/>
        <v/>
      </c>
      <c r="X40" t="str">
        <f t="shared" si="14"/>
        <v/>
      </c>
      <c r="Z40" t="str">
        <f t="shared" si="11"/>
        <v/>
      </c>
      <c r="AA40" t="str">
        <f t="shared" si="12"/>
        <v/>
      </c>
    </row>
    <row r="41" spans="22:27" x14ac:dyDescent="0.35">
      <c r="V41">
        <v>17</v>
      </c>
      <c r="W41" t="str">
        <f t="shared" si="13"/>
        <v/>
      </c>
      <c r="X41" t="str">
        <f t="shared" si="14"/>
        <v/>
      </c>
      <c r="Z41" t="str">
        <f t="shared" si="11"/>
        <v/>
      </c>
      <c r="AA41" t="str">
        <f t="shared" si="12"/>
        <v/>
      </c>
    </row>
    <row r="42" spans="22:27" x14ac:dyDescent="0.35">
      <c r="V42">
        <v>18</v>
      </c>
      <c r="W42" t="str">
        <f t="shared" si="13"/>
        <v/>
      </c>
      <c r="X42" t="str">
        <f t="shared" si="14"/>
        <v/>
      </c>
      <c r="Z42" t="str">
        <f t="shared" si="11"/>
        <v/>
      </c>
      <c r="AA42" t="str">
        <f t="shared" si="12"/>
        <v/>
      </c>
    </row>
    <row r="43" spans="22:27" x14ac:dyDescent="0.35">
      <c r="V43">
        <v>19</v>
      </c>
      <c r="W43" t="b">
        <f>IF(N20="Sblob",
    AND(S20 &gt;= O$23*(1-0.05), S20 &lt;= O$23*(1+0.05)),
IF(N20="Lblob",
    AND(S20 &gt;= O$24*(1-0.05), S20 &lt;= O$24*(1+0.05)),
IF(N20="Rec",
    AND(S20 &gt;= O$25*(1-0.05), S20 &lt;= O$25*(1+0.05)),
""
)))</f>
        <v>1</v>
      </c>
      <c r="X43" t="b">
        <f>IF(N20="Sblob",
    AND(T20 &gt;= Q$23*(1-0.05), T20 &lt;= Q$23*(1+0.05)),
IF(N20="Lblob",
    AND(T20 &gt;= Q$24*(1-0.05), T20 &lt;= Q$24*(1+0.05)),
IF(N20="Rec",
    AND(T20 &gt;= Q$25*(1-0.05), T20 &lt;= Q$25*(1+0.05)),
""
)))</f>
        <v>1</v>
      </c>
      <c r="Z43">
        <f t="shared" si="11"/>
        <v>-6.2411764705883055E-3</v>
      </c>
      <c r="AA43">
        <f t="shared" si="12"/>
        <v>2.4391999999999969E-2</v>
      </c>
    </row>
    <row r="44" spans="22:27" x14ac:dyDescent="0.35">
      <c r="V44">
        <v>20</v>
      </c>
      <c r="W44" t="b">
        <f t="shared" ref="W44:W45" si="15">IF(N21="Sblob",
    AND(S21 &gt;= O$23*(1-0.05), S21 &lt;= O$23*(1+0.05)),
IF(N21="Lblob",
    AND(S21 &gt;= O$24*(1-0.05), S21 &lt;= O$24*(1+0.05)),
IF(N21="Rec",
    AND(S21 &gt;= O$25*(1-0.05), S21 &lt;= O$25*(1+0.05)),
""
)))</f>
        <v>1</v>
      </c>
      <c r="X44" t="b">
        <f t="shared" ref="X44:X45" si="16">IF(N21="Sblob",
    AND(T21 &gt;= Q$23*(1-0.05), T21 &lt;= Q$23*(1+0.05)),
IF(N21="Lblob",
    AND(T21 &gt;= Q$24*(1-0.05), T21 &lt;= Q$24*(1+0.05)),
IF(N21="Rec",
    AND(T21 &gt;= Q$25*(1-0.05), T21 &lt;= Q$25*(1+0.05)),
""
)))</f>
        <v>1</v>
      </c>
      <c r="Z44">
        <f t="shared" si="11"/>
        <v>-3.9882352941176258E-3</v>
      </c>
      <c r="AA44">
        <f t="shared" si="12"/>
        <v>2.5887999999999911E-2</v>
      </c>
    </row>
    <row r="49" spans="23:24" x14ac:dyDescent="0.35">
      <c r="W49" t="str">
        <f>IF(N26="Sblob",
    AND(S26 &gt;= O$23*(1-0.05), S26 &lt;= O$23*(1+0.05)),
IF(N26="Lblob",
    AND(S26 &gt;= O$24*(1-0.05), S26 &lt;= O$24*(1+0.05)),
IF(N26="Rec",
    AND(S26 &gt;= O$25*(1-0.05), S26 &lt;= O$25*(1+0.05)),
""
)))</f>
        <v/>
      </c>
      <c r="X49" t="str">
        <f>IF(N26="Sblob",
    AND(T26 &gt;= Q$23*(1-0.05), T26 &lt;= Q$23*(1+0.05)),
IF(N26="Lblob",
    AND(T26 &gt;= Q$24*(1-0.05), T26 &lt;= Q$24*(1+0.05)),
IF(N26="Rec",
    AND(T26 &gt;= Q$25*(1-0.05), T26 &lt;= Q$25*(1+0.05)),
""
)))</f>
        <v/>
      </c>
    </row>
    <row r="50" spans="23:24" x14ac:dyDescent="0.35">
      <c r="W50" t="str">
        <f t="shared" ref="W50:W56" si="17">IF(N27="Sblob",
    AND(S27 &gt;= O$23*(1-0.05), S27 &lt;= O$23*(1+0.05)),
IF(N27="Lblob",
    AND(S27 &gt;= O$24*(1-0.05), S27 &lt;= O$24*(1+0.05)),
IF(N27="Rec",
    AND(S27 &gt;= O$25*(1-0.05), S27 &lt;= O$25*(1+0.05)),
""
)))</f>
        <v/>
      </c>
      <c r="X50" t="str">
        <f t="shared" ref="X50:X56" si="18">IF(N27="Sblob",
    AND(T27 &gt;= Q$23*(1-0.05), T27 &lt;= Q$23*(1+0.05)),
IF(N27="Lblob",
    AND(T27 &gt;= Q$24*(1-0.05), T27 &lt;= Q$24*(1+0.05)),
IF(N27="Rec",
    AND(T27 &gt;= Q$25*(1-0.05), T27 &lt;= Q$25*(1+0.05)),
""
)))</f>
        <v/>
      </c>
    </row>
    <row r="51" spans="23:24" x14ac:dyDescent="0.35">
      <c r="W51" t="str">
        <f t="shared" si="17"/>
        <v/>
      </c>
      <c r="X51" t="str">
        <f t="shared" si="18"/>
        <v/>
      </c>
    </row>
    <row r="52" spans="23:24" x14ac:dyDescent="0.35">
      <c r="W52" t="str">
        <f t="shared" si="17"/>
        <v/>
      </c>
      <c r="X52" t="str">
        <f t="shared" si="18"/>
        <v/>
      </c>
    </row>
    <row r="53" spans="23:24" x14ac:dyDescent="0.35">
      <c r="W53" t="str">
        <f t="shared" si="17"/>
        <v/>
      </c>
      <c r="X53" t="str">
        <f t="shared" si="18"/>
        <v/>
      </c>
    </row>
    <row r="54" spans="23:24" x14ac:dyDescent="0.35">
      <c r="W54" t="str">
        <f t="shared" si="17"/>
        <v/>
      </c>
      <c r="X54" t="str">
        <f t="shared" si="18"/>
        <v/>
      </c>
    </row>
    <row r="55" spans="23:24" x14ac:dyDescent="0.35">
      <c r="W55" t="str">
        <f t="shared" si="17"/>
        <v/>
      </c>
      <c r="X55" t="str">
        <f t="shared" si="18"/>
        <v/>
      </c>
    </row>
    <row r="56" spans="23:24" x14ac:dyDescent="0.35">
      <c r="W56" t="str">
        <f t="shared" si="17"/>
        <v/>
      </c>
      <c r="X56" t="str">
        <f t="shared" si="18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Jens Søby Hansen</dc:creator>
  <cp:lastModifiedBy>Jens Søby Hansen</cp:lastModifiedBy>
  <dcterms:created xsi:type="dcterms:W3CDTF">2025-12-12T14:17:16Z</dcterms:created>
  <dcterms:modified xsi:type="dcterms:W3CDTF">2025-12-12T16:29:11Z</dcterms:modified>
</cp:coreProperties>
</file>